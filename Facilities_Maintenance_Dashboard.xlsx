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_Orders" sheetId="1" state="visible" r:id="rId3"/>
    <sheet name="Summary_Analysis" sheetId="2" state="visible" r:id="rId4"/>
    <sheet name="SQL_Queries" sheetId="3" state="visible" r:id="rId5"/>
    <sheet name="GitHub_READM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<sst xmlns="http://schemas.openxmlformats.org/spreadsheetml/2006/main" count="1147" uniqueCount="394">
  <si>
    <t xml:space="preserve">Job_ID</t>
  </si>
  <si>
    <t xml:space="preserve">Date_Logged</t>
  </si>
  <si>
    <t xml:space="preserve">Category</t>
  </si>
  <si>
    <t xml:space="preserve">Description</t>
  </si>
  <si>
    <t xml:space="preserve">Priority</t>
  </si>
  <si>
    <t xml:space="preserve">Status</t>
  </si>
  <si>
    <t xml:space="preserve">Contractor</t>
  </si>
  <si>
    <t xml:space="preserve">Days_to_Close</t>
  </si>
  <si>
    <t xml:space="preserve">Cost_EUR</t>
  </si>
  <si>
    <t xml:space="preserve">Building</t>
  </si>
  <si>
    <t xml:space="preserve">WO-1001</t>
  </si>
  <si>
    <t xml:space="preserve">2024-01-05</t>
  </si>
  <si>
    <t xml:space="preserve">Electrical</t>
  </si>
  <si>
    <t xml:space="preserve">Faulty lighting in corridor</t>
  </si>
  <si>
    <t xml:space="preserve">Low</t>
  </si>
  <si>
    <t xml:space="preserve">Completed</t>
  </si>
  <si>
    <t xml:space="preserve">ProClean</t>
  </si>
  <si>
    <t xml:space="preserve">Student Centre</t>
  </si>
  <si>
    <t xml:space="preserve">WO-1002</t>
  </si>
  <si>
    <t xml:space="preserve">2024-01-17</t>
  </si>
  <si>
    <t xml:space="preserve">Power socket not working</t>
  </si>
  <si>
    <t xml:space="preserve">High</t>
  </si>
  <si>
    <t xml:space="preserve">TechFix Dublin</t>
  </si>
  <si>
    <t xml:space="preserve">Admin Block</t>
  </si>
  <si>
    <t xml:space="preserve">WO-1003</t>
  </si>
  <si>
    <t xml:space="preserve">2024-01-26</t>
  </si>
  <si>
    <t xml:space="preserve">Structural</t>
  </si>
  <si>
    <t xml:space="preserve">Door hinge repair</t>
  </si>
  <si>
    <t xml:space="preserve">WO-1004</t>
  </si>
  <si>
    <t xml:space="preserve">2024-01-25</t>
  </si>
  <si>
    <t xml:space="preserve">IT Equipment</t>
  </si>
  <si>
    <t xml:space="preserve">Monitor replacement</t>
  </si>
  <si>
    <t xml:space="preserve">Medium</t>
  </si>
  <si>
    <t xml:space="preserve">Murphy Maintenance</t>
  </si>
  <si>
    <t xml:space="preserve">Library</t>
  </si>
  <si>
    <t xml:space="preserve">WO-1005</t>
  </si>
  <si>
    <t xml:space="preserve">2024-01-24</t>
  </si>
  <si>
    <t xml:space="preserve">In Progress</t>
  </si>
  <si>
    <t xml:space="preserve">Main Campus</t>
  </si>
  <si>
    <t xml:space="preserve">WO-1006</t>
  </si>
  <si>
    <t xml:space="preserve">2024-01-21</t>
  </si>
  <si>
    <t xml:space="preserve">Window seal replacement</t>
  </si>
  <si>
    <t xml:space="preserve">Research Block</t>
  </si>
  <si>
    <t xml:space="preserve">WO-1007</t>
  </si>
  <si>
    <t xml:space="preserve">2024-01-10</t>
  </si>
  <si>
    <t xml:space="preserve">Plumbing</t>
  </si>
  <si>
    <t xml:space="preserve">Leaking tap in kitchen</t>
  </si>
  <si>
    <t xml:space="preserve">Lift Tech Ireland</t>
  </si>
  <si>
    <t xml:space="preserve">WO-1008</t>
  </si>
  <si>
    <t xml:space="preserve">2024-01-12</t>
  </si>
  <si>
    <t xml:space="preserve">Fire Safety</t>
  </si>
  <si>
    <t xml:space="preserve">Emergency exit sign repair</t>
  </si>
  <si>
    <t xml:space="preserve">WO-1009</t>
  </si>
  <si>
    <t xml:space="preserve">2024-02-21</t>
  </si>
  <si>
    <t xml:space="preserve">Lift</t>
  </si>
  <si>
    <t xml:space="preserve">Emergency stop test</t>
  </si>
  <si>
    <t xml:space="preserve">BuildRight Ltd</t>
  </si>
  <si>
    <t xml:space="preserve">WO-1010</t>
  </si>
  <si>
    <t xml:space="preserve">2024-02-13</t>
  </si>
  <si>
    <t xml:space="preserve">WO-1011</t>
  </si>
  <si>
    <t xml:space="preserve">Network switch fault</t>
  </si>
  <si>
    <t xml:space="preserve">ElecFix Ltd</t>
  </si>
  <si>
    <t xml:space="preserve">WO-1012</t>
  </si>
  <si>
    <t xml:space="preserve">2024-02-19</t>
  </si>
  <si>
    <t xml:space="preserve">Cleaning</t>
  </si>
  <si>
    <t xml:space="preserve">Carpet cleaning</t>
  </si>
  <si>
    <t xml:space="preserve">WO-1013</t>
  </si>
  <si>
    <t xml:space="preserve">2024-02-05</t>
  </si>
  <si>
    <t xml:space="preserve">Blocked drain</t>
  </si>
  <si>
    <t xml:space="preserve">WO-1014</t>
  </si>
  <si>
    <t xml:space="preserve">2024-02-15</t>
  </si>
  <si>
    <t xml:space="preserve">WO-1015</t>
  </si>
  <si>
    <t xml:space="preserve">2024-02-10</t>
  </si>
  <si>
    <t xml:space="preserve">Deep clean after event</t>
  </si>
  <si>
    <t xml:space="preserve">WO-1016</t>
  </si>
  <si>
    <t xml:space="preserve">HVAC</t>
  </si>
  <si>
    <t xml:space="preserve">Ventilation filter replacement</t>
  </si>
  <si>
    <t xml:space="preserve">WO-1017</t>
  </si>
  <si>
    <t xml:space="preserve">2024-02-17</t>
  </si>
  <si>
    <t xml:space="preserve">AC unit not cooling</t>
  </si>
  <si>
    <t xml:space="preserve">WO-1018</t>
  </si>
  <si>
    <t xml:space="preserve">2024-03-27</t>
  </si>
  <si>
    <t xml:space="preserve">WO-1019</t>
  </si>
  <si>
    <t xml:space="preserve">2024-03-25</t>
  </si>
  <si>
    <t xml:space="preserve">WO-1020</t>
  </si>
  <si>
    <t xml:space="preserve">2024-03-14</t>
  </si>
  <si>
    <t xml:space="preserve">WO-1021</t>
  </si>
  <si>
    <t xml:space="preserve">2024-03-12</t>
  </si>
  <si>
    <t xml:space="preserve">Pressure wash carpark</t>
  </si>
  <si>
    <t xml:space="preserve">WO-1022</t>
  </si>
  <si>
    <t xml:space="preserve">2024-03-18</t>
  </si>
  <si>
    <t xml:space="preserve">Lift door sensor fault</t>
  </si>
  <si>
    <t xml:space="preserve">WO-1023</t>
  </si>
  <si>
    <t xml:space="preserve">2024-03-11</t>
  </si>
  <si>
    <t xml:space="preserve">WO-1024</t>
  </si>
  <si>
    <t xml:space="preserve">2024-03-19</t>
  </si>
  <si>
    <t xml:space="preserve">Lift button replacement</t>
  </si>
  <si>
    <t xml:space="preserve">WO-1025</t>
  </si>
  <si>
    <t xml:space="preserve">Flooring repair</t>
  </si>
  <si>
    <t xml:space="preserve">WO-1026</t>
  </si>
  <si>
    <t xml:space="preserve">2024-03-26</t>
  </si>
  <si>
    <t xml:space="preserve">WO-1027</t>
  </si>
  <si>
    <t xml:space="preserve">2024-03-06</t>
  </si>
  <si>
    <t xml:space="preserve">WO-1028</t>
  </si>
  <si>
    <t xml:space="preserve">Pending</t>
  </si>
  <si>
    <t xml:space="preserve">WO-1029</t>
  </si>
  <si>
    <t xml:space="preserve">2024-03-28</t>
  </si>
  <si>
    <t xml:space="preserve">WO-1030</t>
  </si>
  <si>
    <t xml:space="preserve">2024-03-15</t>
  </si>
  <si>
    <t xml:space="preserve">WO-1031</t>
  </si>
  <si>
    <t xml:space="preserve">2024-03-02</t>
  </si>
  <si>
    <t xml:space="preserve">Fire extinguisher inspection</t>
  </si>
  <si>
    <t xml:space="preserve">WO-1032</t>
  </si>
  <si>
    <t xml:space="preserve">2024-04-28</t>
  </si>
  <si>
    <t xml:space="preserve">WO-1033</t>
  </si>
  <si>
    <t xml:space="preserve">2024-04-08</t>
  </si>
  <si>
    <t xml:space="preserve">WO-1034</t>
  </si>
  <si>
    <t xml:space="preserve">2024-04-19</t>
  </si>
  <si>
    <t xml:space="preserve">Emergency lighting test</t>
  </si>
  <si>
    <t xml:space="preserve">WO-1035</t>
  </si>
  <si>
    <t xml:space="preserve">2024-04-21</t>
  </si>
  <si>
    <t xml:space="preserve">WO-1036</t>
  </si>
  <si>
    <t xml:space="preserve">2024-04-09</t>
  </si>
  <si>
    <t xml:space="preserve">WO-1037</t>
  </si>
  <si>
    <t xml:space="preserve">2024-04-23</t>
  </si>
  <si>
    <t xml:space="preserve">Window cleaning</t>
  </si>
  <si>
    <t xml:space="preserve">WO-1038</t>
  </si>
  <si>
    <t xml:space="preserve">2024-04-22</t>
  </si>
  <si>
    <t xml:space="preserve">CoolAir Services</t>
  </si>
  <si>
    <t xml:space="preserve">WO-1039</t>
  </si>
  <si>
    <t xml:space="preserve">2024-05-23</t>
  </si>
  <si>
    <t xml:space="preserve">Heating system fault</t>
  </si>
  <si>
    <t xml:space="preserve">WO-1040</t>
  </si>
  <si>
    <t xml:space="preserve">2024-05-03</t>
  </si>
  <si>
    <t xml:space="preserve">WO-1041</t>
  </si>
  <si>
    <t xml:space="preserve">2024-05-21</t>
  </si>
  <si>
    <t xml:space="preserve">WO-1042</t>
  </si>
  <si>
    <t xml:space="preserve">WO-1043</t>
  </si>
  <si>
    <t xml:space="preserve">2024-05-12</t>
  </si>
  <si>
    <t xml:space="preserve">WO-1044</t>
  </si>
  <si>
    <t xml:space="preserve">2024-05-28</t>
  </si>
  <si>
    <t xml:space="preserve">WO-1045</t>
  </si>
  <si>
    <t xml:space="preserve">2024-05-24</t>
  </si>
  <si>
    <t xml:space="preserve">Boiler service</t>
  </si>
  <si>
    <t xml:space="preserve">WO-1046</t>
  </si>
  <si>
    <t xml:space="preserve">2024-05-13</t>
  </si>
  <si>
    <t xml:space="preserve">WO-1047</t>
  </si>
  <si>
    <t xml:space="preserve">2024-06-10</t>
  </si>
  <si>
    <t xml:space="preserve">Annual lift inspection</t>
  </si>
  <si>
    <t xml:space="preserve">WO-1048</t>
  </si>
  <si>
    <t xml:space="preserve">2024-06-09</t>
  </si>
  <si>
    <t xml:space="preserve">WO-1049</t>
  </si>
  <si>
    <t xml:space="preserve">2024-06-11</t>
  </si>
  <si>
    <t xml:space="preserve">Ceiling tile replacement</t>
  </si>
  <si>
    <t xml:space="preserve">WO-1050</t>
  </si>
  <si>
    <t xml:space="preserve">2024-06-02</t>
  </si>
  <si>
    <t xml:space="preserve">WO-1051</t>
  </si>
  <si>
    <t xml:space="preserve">2024-06-20</t>
  </si>
  <si>
    <t xml:space="preserve">WO-1052</t>
  </si>
  <si>
    <t xml:space="preserve">2024-06-18</t>
  </si>
  <si>
    <t xml:space="preserve">WO-1053</t>
  </si>
  <si>
    <t xml:space="preserve">Water pressure issue</t>
  </si>
  <si>
    <t xml:space="preserve">WO-1054</t>
  </si>
  <si>
    <t xml:space="preserve">WO-1055</t>
  </si>
  <si>
    <t xml:space="preserve">WO-1056</t>
  </si>
  <si>
    <t xml:space="preserve">2024-06-26</t>
  </si>
  <si>
    <t xml:space="preserve">WO-1057</t>
  </si>
  <si>
    <t xml:space="preserve">2024-07-26</t>
  </si>
  <si>
    <t xml:space="preserve">WO-1058</t>
  </si>
  <si>
    <t xml:space="preserve">2024-07-11</t>
  </si>
  <si>
    <t xml:space="preserve">WO-1059</t>
  </si>
  <si>
    <t xml:space="preserve">2024-07-02</t>
  </si>
  <si>
    <t xml:space="preserve">WO-1060</t>
  </si>
  <si>
    <t xml:space="preserve">2024-07-13</t>
  </si>
  <si>
    <t xml:space="preserve">WO-1061</t>
  </si>
  <si>
    <t xml:space="preserve">2024-07-23</t>
  </si>
  <si>
    <t xml:space="preserve">WO-1062</t>
  </si>
  <si>
    <t xml:space="preserve">2024-07-05</t>
  </si>
  <si>
    <t xml:space="preserve">WO-1063</t>
  </si>
  <si>
    <t xml:space="preserve">2024-07-06</t>
  </si>
  <si>
    <t xml:space="preserve">WO-1064</t>
  </si>
  <si>
    <t xml:space="preserve">2024-07-03</t>
  </si>
  <si>
    <t xml:space="preserve">WO-1065</t>
  </si>
  <si>
    <t xml:space="preserve">WO-1066</t>
  </si>
  <si>
    <t xml:space="preserve">2024-07-07</t>
  </si>
  <si>
    <t xml:space="preserve">Projector bulb replacement</t>
  </si>
  <si>
    <t xml:space="preserve">WO-1067</t>
  </si>
  <si>
    <t xml:space="preserve">2024-07-10</t>
  </si>
  <si>
    <t xml:space="preserve">WO-1068</t>
  </si>
  <si>
    <t xml:space="preserve">2024-07-16</t>
  </si>
  <si>
    <t xml:space="preserve">WO-1069</t>
  </si>
  <si>
    <t xml:space="preserve">2024-07-18</t>
  </si>
  <si>
    <t xml:space="preserve">WO-1070</t>
  </si>
  <si>
    <t xml:space="preserve">2024-07-28</t>
  </si>
  <si>
    <t xml:space="preserve">WO-1071</t>
  </si>
  <si>
    <t xml:space="preserve">2024-08-13</t>
  </si>
  <si>
    <t xml:space="preserve">WO-1072</t>
  </si>
  <si>
    <t xml:space="preserve">2024-08-24</t>
  </si>
  <si>
    <t xml:space="preserve">WO-1073</t>
  </si>
  <si>
    <t xml:space="preserve">2024-08-07</t>
  </si>
  <si>
    <t xml:space="preserve">WO-1074</t>
  </si>
  <si>
    <t xml:space="preserve">2024-08-19</t>
  </si>
  <si>
    <t xml:space="preserve">WO-1075</t>
  </si>
  <si>
    <t xml:space="preserve">2024-08-23</t>
  </si>
  <si>
    <t xml:space="preserve">WO-1076</t>
  </si>
  <si>
    <t xml:space="preserve">2024-08-10</t>
  </si>
  <si>
    <t xml:space="preserve">WO-1077</t>
  </si>
  <si>
    <t xml:space="preserve">2024-08-08</t>
  </si>
  <si>
    <t xml:space="preserve">WO-1078</t>
  </si>
  <si>
    <t xml:space="preserve">2024-08-02</t>
  </si>
  <si>
    <t xml:space="preserve">WO-1079</t>
  </si>
  <si>
    <t xml:space="preserve">2024-08-16</t>
  </si>
  <si>
    <t xml:space="preserve">Printer offline</t>
  </si>
  <si>
    <t xml:space="preserve">WO-1080</t>
  </si>
  <si>
    <t xml:space="preserve">2024-08-21</t>
  </si>
  <si>
    <t xml:space="preserve">WO-1081</t>
  </si>
  <si>
    <t xml:space="preserve">2024-09-09</t>
  </si>
  <si>
    <t xml:space="preserve">WO-1082</t>
  </si>
  <si>
    <t xml:space="preserve">2024-09-25</t>
  </si>
  <si>
    <t xml:space="preserve">Toilet flush repair</t>
  </si>
  <si>
    <t xml:space="preserve">WO-1083</t>
  </si>
  <si>
    <t xml:space="preserve">2024-09-07</t>
  </si>
  <si>
    <t xml:space="preserve">WO-1084</t>
  </si>
  <si>
    <t xml:space="preserve">WO-1085</t>
  </si>
  <si>
    <t xml:space="preserve">2024-09-16</t>
  </si>
  <si>
    <t xml:space="preserve">WO-1086</t>
  </si>
  <si>
    <t xml:space="preserve">2024-09-19</t>
  </si>
  <si>
    <t xml:space="preserve">WO-1087</t>
  </si>
  <si>
    <t xml:space="preserve">2024-09-10</t>
  </si>
  <si>
    <t xml:space="preserve">WO-1088</t>
  </si>
  <si>
    <t xml:space="preserve">WO-1089</t>
  </si>
  <si>
    <t xml:space="preserve">2024-09-01</t>
  </si>
  <si>
    <t xml:space="preserve">WO-1090</t>
  </si>
  <si>
    <t xml:space="preserve">2024-09-28</t>
  </si>
  <si>
    <t xml:space="preserve">WO-1091</t>
  </si>
  <si>
    <t xml:space="preserve">2024-09-02</t>
  </si>
  <si>
    <t xml:space="preserve">Sprinkler check</t>
  </si>
  <si>
    <t xml:space="preserve">WO-1092</t>
  </si>
  <si>
    <t xml:space="preserve">2024-09-22</t>
  </si>
  <si>
    <t xml:space="preserve">WO-1093</t>
  </si>
  <si>
    <t xml:space="preserve">2024-09-20</t>
  </si>
  <si>
    <t xml:space="preserve">WO-1094</t>
  </si>
  <si>
    <t xml:space="preserve">WO-1095</t>
  </si>
  <si>
    <t xml:space="preserve">2024-10-08</t>
  </si>
  <si>
    <t xml:space="preserve">WO-1096</t>
  </si>
  <si>
    <t xml:space="preserve">2024-10-02</t>
  </si>
  <si>
    <t xml:space="preserve">WO-1097</t>
  </si>
  <si>
    <t xml:space="preserve">2024-10-26</t>
  </si>
  <si>
    <t xml:space="preserve">WO-1098</t>
  </si>
  <si>
    <t xml:space="preserve">2024-10-27</t>
  </si>
  <si>
    <t xml:space="preserve">WO-1099</t>
  </si>
  <si>
    <t xml:space="preserve">WO-1100</t>
  </si>
  <si>
    <t xml:space="preserve">2024-10-17</t>
  </si>
  <si>
    <t xml:space="preserve">WO-1101</t>
  </si>
  <si>
    <t xml:space="preserve">2024-10-20</t>
  </si>
  <si>
    <t xml:space="preserve">WO-1102</t>
  </si>
  <si>
    <t xml:space="preserve">2024-10-19</t>
  </si>
  <si>
    <t xml:space="preserve">WO-1103</t>
  </si>
  <si>
    <t xml:space="preserve">WO-1104</t>
  </si>
  <si>
    <t xml:space="preserve">2024-10-03</t>
  </si>
  <si>
    <t xml:space="preserve">WO-1105</t>
  </si>
  <si>
    <t xml:space="preserve">2024-11-22</t>
  </si>
  <si>
    <t xml:space="preserve">WO-1106</t>
  </si>
  <si>
    <t xml:space="preserve">2024-11-25</t>
  </si>
  <si>
    <t xml:space="preserve">WO-1107</t>
  </si>
  <si>
    <t xml:space="preserve">2024-11-12</t>
  </si>
  <si>
    <t xml:space="preserve">WO-1108</t>
  </si>
  <si>
    <t xml:space="preserve">2024-11-10</t>
  </si>
  <si>
    <t xml:space="preserve">WO-1109</t>
  </si>
  <si>
    <t xml:space="preserve">2024-11-01</t>
  </si>
  <si>
    <t xml:space="preserve">WO-1110</t>
  </si>
  <si>
    <t xml:space="preserve">2024-11-05</t>
  </si>
  <si>
    <t xml:space="preserve">WO-1111</t>
  </si>
  <si>
    <t xml:space="preserve">2024-11-08</t>
  </si>
  <si>
    <t xml:space="preserve">WO-1112</t>
  </si>
  <si>
    <t xml:space="preserve">2024-11-24</t>
  </si>
  <si>
    <t xml:space="preserve">WO-1113</t>
  </si>
  <si>
    <t xml:space="preserve">2024-11-27</t>
  </si>
  <si>
    <t xml:space="preserve">WO-1114</t>
  </si>
  <si>
    <t xml:space="preserve">2024-12-11</t>
  </si>
  <si>
    <t xml:space="preserve">WO-1115</t>
  </si>
  <si>
    <t xml:space="preserve">2024-12-13</t>
  </si>
  <si>
    <t xml:space="preserve">WO-1116</t>
  </si>
  <si>
    <t xml:space="preserve">Smoke detector test</t>
  </si>
  <si>
    <t xml:space="preserve">WO-1117</t>
  </si>
  <si>
    <t xml:space="preserve">2024-12-28</t>
  </si>
  <si>
    <t xml:space="preserve">WO-1118</t>
  </si>
  <si>
    <t xml:space="preserve">WO-1119</t>
  </si>
  <si>
    <t xml:space="preserve">2024-12-03</t>
  </si>
  <si>
    <t xml:space="preserve">WO-1120</t>
  </si>
  <si>
    <t xml:space="preserve">2024-12-22</t>
  </si>
  <si>
    <t xml:space="preserve">WO-1121</t>
  </si>
  <si>
    <t xml:space="preserve">2024-12-01</t>
  </si>
  <si>
    <t xml:space="preserve">WO-1122</t>
  </si>
  <si>
    <t xml:space="preserve">2024-12-14</t>
  </si>
  <si>
    <t xml:space="preserve">WO-1123</t>
  </si>
  <si>
    <t xml:space="preserve">WO-1124</t>
  </si>
  <si>
    <t xml:space="preserve">2024-12-26</t>
  </si>
  <si>
    <t xml:space="preserve">WO-1125</t>
  </si>
  <si>
    <t xml:space="preserve">WO-1126</t>
  </si>
  <si>
    <t xml:space="preserve">2024-12-12</t>
  </si>
  <si>
    <t xml:space="preserve">WO-1127</t>
  </si>
  <si>
    <t xml:space="preserve">2024-12-25</t>
  </si>
  <si>
    <t xml:space="preserve">FACILITIES MAINTENANCE DASHBOARD — 2024 ANNUAL SUMMARY</t>
  </si>
  <si>
    <t xml:space="preserve">Royal College of Surgeons Ireland (RCSI) — Fictional Training Dataset</t>
  </si>
  <si>
    <t xml:space="preserve">Total Work Orders</t>
  </si>
  <si>
    <t xml:space="preserve">Avg Days to Close</t>
  </si>
  <si>
    <t xml:space="preserve">Total Cost (€)</t>
  </si>
  <si>
    <t xml:space="preserve">WORK ORDERS BY CATEGORY</t>
  </si>
  <si>
    <t xml:space="preserve">WORK ORDERS BY PRIORITY</t>
  </si>
  <si>
    <t xml:space="preserve">Count</t>
  </si>
  <si>
    <t xml:space="preserve">% of Total</t>
  </si>
  <si>
    <t xml:space="preserve">Avg Cost (€)</t>
  </si>
  <si>
    <t xml:space="preserve">TOTAL</t>
  </si>
  <si>
    <t xml:space="preserve">100%</t>
  </si>
  <si>
    <t xml:space="preserve">MONTHLY WORK ORDER TREND — 2024</t>
  </si>
  <si>
    <t xml:space="preserve">Month</t>
  </si>
  <si>
    <t xml:space="preserve">Jobs Logged</t>
  </si>
  <si>
    <t xml:space="preserve">Cost (€)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</si>
  <si>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</si>
  <si>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</si>
  <si>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</si>
  <si>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</si>
  <si>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</si>
  <si>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</si>
  <si>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</si>
  <si>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</si>
  <si>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</si>
  <si>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</si>
  <si>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</si>
  <si>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</si>
  <si>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SQL QUERY REFERENCE — Facilities Maintenance Dashboard</t>
  </si>
  <si>
    <t xml:space="preserve">Query 1: Total work orders by category</t>
  </si>
  <si>
    <t xml:space="preserve">SELECT Category,</t>
  </si>
  <si>
    <t xml:space="preserve">       COUNT(*) AS Total_Jobs,</t>
  </si>
  <si>
    <t xml:space="preserve">       ROUND(COUNT(*) * 100.0 / (SELECT COUNT(*) FROM work_orders), 1) AS Pct_Total</t>
  </si>
  <si>
    <t xml:space="preserve">FROM work_orders</t>
  </si>
  <si>
    <t xml:space="preserve">GROUP BY Category</t>
  </si>
  <si>
    <t xml:space="preserve">ORDER BY Total_Jobs DESC;</t>
  </si>
  <si>
    <t xml:space="preserve">Query 2: Average days to close by priority</t>
  </si>
  <si>
    <t xml:space="preserve">SELECT Priority,</t>
  </si>
  <si>
    <t xml:space="preserve">       COUNT(*) AS Jobs,</t>
  </si>
  <si>
    <t xml:space="preserve">       ROUND(AVG(Days_to_Close), 1) AS Avg_Days_to_Close,</t>
  </si>
  <si>
    <t xml:space="preserve">       ROUND(AVG(Cost_EUR), 2) AS Avg_Cost</t>
  </si>
  <si>
    <t xml:space="preserve">WHERE Status = 'Completed'</t>
  </si>
  <si>
    <t xml:space="preserve">GROUP BY Priority</t>
  </si>
  <si>
    <t xml:space="preserve">ORDER BY CASE Priority WHEN 'High' THEN 1</t>
  </si>
  <si>
    <t xml:space="preserve">                       WHEN 'Medium' THEN 2</t>
  </si>
  <si>
    <t xml:space="preserve">                       ELSE 3 END;</t>
  </si>
  <si>
    <t xml:space="preserve">Query 3: Monthly trend — jobs logged and completed</t>
  </si>
  <si>
    <t xml:space="preserve">SELECT SUBSTR(Date_Logged, 1, 7) AS Month,</t>
  </si>
  <si>
    <t xml:space="preserve">       COUNT(*) AS Jobs_Logged,</t>
  </si>
  <si>
    <t xml:space="preserve">       SUM(CASE WHEN Status='Completed' THEN 1 ELSE 0 END) AS Completed,</t>
  </si>
  <si>
    <t xml:space="preserve">       ROUND(SUM(CASE WHEN Status='Completed' THEN Cost_EUR ELSE 0 END), 2) AS Total_Cost</t>
  </si>
  <si>
    <t xml:space="preserve">GROUP BY Month</t>
  </si>
  <si>
    <t xml:space="preserve">ORDER BY Month;</t>
  </si>
  <si>
    <t xml:space="preserve">Query 4: Top 3 most expensive categories</t>
  </si>
  <si>
    <t xml:space="preserve">       ROUND(SUM(Cost_EUR), 2) AS Total_Cost,</t>
  </si>
  <si>
    <t xml:space="preserve">ORDER BY Total_Cost DESC</t>
  </si>
  <si>
    <t xml:space="preserve">LIMIT 3;</t>
  </si>
  <si>
    <t xml:space="preserve">Query 5: Contractor performance</t>
  </si>
  <si>
    <t xml:space="preserve">SELECT Contractor,</t>
  </si>
  <si>
    <t xml:space="preserve">       ROUND(AVG(CASE WHEN Status='Completed' THEN Days_to_Close END), 1) AS Avg_Days,</t>
  </si>
  <si>
    <t xml:space="preserve">       ROUND(SUM(Cost_EUR), 2) AS Total_Cost</t>
  </si>
  <si>
    <t xml:space="preserve">GROUP BY Contractor</t>
  </si>
  <si>
    <t xml:space="preserve">GITHUB README TEMPLATE — Copy this into your repository</t>
  </si>
  <si>
    <t xml:space="preserve"># Facilities Maintenance Dashboard</t>
  </si>
  <si>
    <t xml:space="preserve">## Project Overview</t>
  </si>
  <si>
    <t xml:space="preserve">This project analyses 12 months of fictional facilities maintenance work order data</t>
  </si>
  <si>
    <t xml:space="preserve">modelled on a large Irish institutional setting (similar to RCSI). The goal is to</t>
  </si>
  <si>
    <t xml:space="preserve">identify maintenance trends, contractor performance, and cost patterns.</t>
  </si>
  <si>
    <t xml:space="preserve">## Tools Used</t>
  </si>
  <si>
    <t xml:space="preserve">- Microsoft Excel  (data storage, COUNTIFS/AVERAGEIFS formulas, bar &amp; pie charts)</t>
  </si>
  <si>
    <t xml:space="preserve">- SQL  (data querying and aggregation — see SQL_Queries sheet)</t>
  </si>
  <si>
    <t xml:space="preserve">- GitHub  (version control and portfolio publishing)</t>
  </si>
  <si>
    <t xml:space="preserve">## Dataset</t>
  </si>
  <si>
    <t xml:space="preserve">- 120+ fictional work orders across Jan–Dec 2024</t>
  </si>
  <si>
    <t xml:space="preserve">- 8 maintenance categories: Electrical, Plumbing, HVAC, Lift, Cleaning, IT, Structural, Fire Safety</t>
  </si>
  <si>
    <t xml:space="preserve">- Fields: Job ID, Date, Category, Priority, Status, Contractor, Days to Close, Cost, Building</t>
  </si>
  <si>
    <t xml:space="preserve">## Key Insights</t>
  </si>
  <si>
    <t xml:space="preserve">1. HVAC and Electrical jobs account for the highest maintenance costs</t>
  </si>
  <si>
    <t xml:space="preserve">2. High priority jobs are closed in an average of X days vs Y days for Low priority</t>
  </si>
  <si>
    <t xml:space="preserve">3. Monthly job volume peaks in Q3 — likely due to summer building works</t>
  </si>
  <si>
    <t xml:space="preserve">4. Contractor performance varies significantly in average days to close</t>
  </si>
  <si>
    <t xml:space="preserve">## File Structure</t>
  </si>
  <si>
    <t xml:space="preserve">facilities_dashboard.xlsx  — Main workbook with 4 sheets:</t>
  </si>
  <si>
    <t xml:space="preserve">  Sheet 1: Work_Orders        — Raw data (120+ rows)</t>
  </si>
  <si>
    <t xml:space="preserve">  Sheet 2: Summary_Analysis   — KPIs, pivot tables, charts</t>
  </si>
  <si>
    <t xml:space="preserve">  Sheet 3: SQL_Queries        — 5 SQL queries with explanations</t>
  </si>
  <si>
    <t xml:space="preserve">  Sheet 4: GitHub_README      — This documentation</t>
  </si>
  <si>
    <t xml:space="preserve">## About the Author</t>
  </si>
  <si>
    <t xml:space="preserve">Yadvinder Punj — Facilities Coordinator at RCSI with 5+ years experience.</t>
  </si>
  <si>
    <t xml:space="preserve">Certified in Google Data Analytics, ICDL Data Analytics, and IWFM Level 4.</t>
  </si>
  <si>
    <t xml:space="preserve">LinkedIn: [your LinkedIn URL]  |  Email: punj28@yahoo.com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</si>
</sst>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\€#,##0.00"/>
    <numFmt numFmtId="167" formatCode="General"/>
    <numFmt numFmtId="168" formatCode="0.0"/>
    <numFmt numFmtId="169" formatCode="\€#,##0"/>
    <numFmt numFmtId="170" formatCode="0.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color rgb="FF1F5C8B"/>
      <name val="Arial"/>
      <family val="0"/>
      <charset val="1"/>
    </font>
    <font>
      <b val="true"/>
      <sz val="9"/>
      <color rgb="FF1F5C8B"/>
      <name val="Arial"/>
      <family val="0"/>
      <charset val="1"/>
    </font>
    <font>
      <b val="true"/>
      <sz val="18"/>
      <color rgb="FF1F5C8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FFFFFF"/>
      <name val="Arial"/>
      <family val="0"/>
      <charset val="1"/>
    </font>
    <font>
      <sz val="9"/>
      <color rgb="FF1A1A1A"/>
      <name val="Courier New"/>
      <family val="0"/>
      <charset val="1"/>
    </font>
    <font>
      <b val="true"/>
      <sz val="13"/>
      <color rgb="FF1F5C8B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1"/>
      <color rgb="FF2E5A88"/>
      <name val="Arial"/>
      <family val="0"/>
      <charset val="1"/>
    </font>
    <font>
      <sz val="10"/>
      <color rgb="FF1A1A1A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5C8B"/>
        <bgColor rgb="FF2E5A88"/>
      </patternFill>
    </fill>
    <fill>
      <patternFill patternType="solid">
        <fgColor rgb="FFFFFFFF"/>
        <bgColor rgb="FFF9F9F9"/>
      </patternFill>
    </fill>
    <fill>
      <patternFill patternType="solid">
        <fgColor rgb="FFF2F2F2"/>
        <bgColor rgb="FFF5F8FA"/>
      </patternFill>
    </fill>
    <fill>
      <patternFill patternType="solid">
        <fgColor rgb="FFA8C8E8"/>
        <bgColor rgb="FF93A9CE"/>
      </patternFill>
    </fill>
    <fill>
      <patternFill patternType="solid">
        <fgColor rgb="FFD6E4F0"/>
        <bgColor rgb="FFDDDDDD"/>
      </patternFill>
    </fill>
    <fill>
      <patternFill patternType="solid">
        <fgColor rgb="FF555555"/>
        <bgColor rgb="FF725990"/>
      </patternFill>
    </fill>
    <fill>
      <patternFill patternType="solid">
        <fgColor rgb="FFC62828"/>
        <bgColor rgb="FFAB4744"/>
      </patternFill>
    </fill>
    <fill>
      <patternFill patternType="solid">
        <fgColor rgb="FFF57C00"/>
        <bgColor rgb="FFFF9900"/>
      </patternFill>
    </fill>
    <fill>
      <patternFill patternType="solid">
        <fgColor rgb="FF2E7D32"/>
        <bgColor rgb="FF008080"/>
      </patternFill>
    </fill>
    <fill>
      <patternFill patternType="solid">
        <fgColor rgb="FF2E5A88"/>
        <bgColor rgb="FF1F5C8B"/>
      </patternFill>
    </fill>
    <fill>
      <patternFill patternType="solid">
        <fgColor rgb="FFF5F8FA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DDDDDD"/>
      </left>
      <right/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1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1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800080"/>
      <rgbColor rgb="FF4F81BD"/>
      <rgbColor rgb="FFDDDDDD"/>
      <rgbColor rgb="FF878787"/>
      <rgbColor rgb="FF93A9CE"/>
      <rgbColor rgb="FFAB4744"/>
      <rgbColor rgb="FFF9F9F9"/>
      <rgbColor rgb="FFD6E4F0"/>
      <rgbColor rgb="FF660066"/>
      <rgbColor rgb="FFDC853E"/>
      <rgbColor rgb="FF1F5C8B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8FA"/>
      <rgbColor rgb="FFF2F2F2"/>
      <rgbColor rgb="FFFFFF99"/>
      <rgbColor rgb="FFA8C8E8"/>
      <rgbColor rgb="FFD09493"/>
      <rgbColor rgb="FFCC99FF"/>
      <rgbColor rgb="FFFFCC99"/>
      <rgbColor rgb="FF4672A8"/>
      <rgbColor rgb="FF33CCCC"/>
      <rgbColor rgb="FF99CC00"/>
      <rgbColor rgb="FFFFCC00"/>
      <rgbColor rgb="FFFF9900"/>
      <rgbColor rgb="FFF57C00"/>
      <rgbColor rgb="FF725990"/>
      <rgbColor rgb="FF8AA64F"/>
      <rgbColor rgb="FF003366"/>
      <rgbColor rgb="FF4299B0"/>
      <rgbColor rgb="FF003300"/>
      <rgbColor rgb="FF555555"/>
      <rgbColor rgb="FFC62828"/>
      <rgbColor rgb="FFC0504D"/>
      <rgbColor rgb="FF2E5A88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Work Orders — 2024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Summary_Analysis!B20</c:f>
              <c:strCache>
                <c:ptCount val="1"/>
                <c:pt idx="0">
                  <c:v>Jobs Logged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Summary_Analysis!$A$21:$A$32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Summary_Analysis!$B$21:$B$32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Summary_Analysis!C20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Summary_Analysis!$A$21:$A$32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Summary_Analysis!$C$21:$C$32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68189113"/>
        <c:axId val="53406202"/>
      </c:barChart>
      <c:catAx>
        <c:axId val="681891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406202"/>
        <c:crosses val="autoZero"/>
        <c:auto val="1"/>
        <c:lblAlgn val="ctr"/>
        <c:lblOffset val="100"/>
        <c:noMultiLvlLbl val="0"/>
      </c:catAx>
      <c:valAx>
        <c:axId val="534062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Jobs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1891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Work Orders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672a8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ab4744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8aa64f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72599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299b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dc853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6"/>
            <c:spPr>
              <a:solidFill>
                <a:srgbClr val="93a9c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7"/>
            <c:spPr>
              <a:solidFill>
                <a:srgbClr val="d09493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Summary_Analysis!$A$9:$A$16</c:f>
              <c:strCache>
                <c:ptCount val="8"/>
                <c:pt idx="0">
                  <c:v>Electrical</c:v>
                </c:pt>
                <c:pt idx="1">
                  <c:v>Plumbing</c:v>
                </c:pt>
                <c:pt idx="2">
                  <c:v>HVAC</c:v>
                </c:pt>
                <c:pt idx="3">
                  <c:v>Lift</c:v>
                </c:pt>
                <c:pt idx="4">
                  <c:v>Cleaning</c:v>
                </c:pt>
                <c:pt idx="5">
                  <c:v>IT Equipment</c:v>
                </c:pt>
                <c:pt idx="6">
                  <c:v>Structural</c:v>
                </c:pt>
                <c:pt idx="7">
                  <c:v>Fire Safety</c:v>
                </c:pt>
              </c:strCache>
            </c:strRef>
          </c:cat>
          <c:val>
            <c:numRef>
              <c:f>Summary_Analysis!$B$8:$B$15</c:f>
              <c:numCache>
                <c:formatCode>General</c:formatCode>
                <c:ptCount val="8"/>
                <c:pt idx="1">
                  <c:v>13</c:v>
                </c:pt>
                <c:pt idx="2">
                  <c:v>18</c:v>
                </c:pt>
                <c:pt idx="3">
                  <c:v>14</c:v>
                </c:pt>
                <c:pt idx="4">
                  <c:v>21</c:v>
                </c:pt>
                <c:pt idx="5">
                  <c:v>18</c:v>
                </c:pt>
                <c:pt idx="6">
                  <c:v>13</c:v>
                </c:pt>
                <c:pt idx="7">
                  <c:v>16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18</xdr:row>
      <xdr:rowOff>0</xdr:rowOff>
    </xdr:from>
    <xdr:to>
      <xdr:col>12</xdr:col>
      <xdr:colOff>322560</xdr:colOff>
      <xdr:row>36</xdr:row>
      <xdr:rowOff>170640</xdr:rowOff>
    </xdr:to>
    <xdr:graphicFrame>
      <xdr:nvGraphicFramePr>
        <xdr:cNvPr id="0" name="Chart 1"/>
        <xdr:cNvGraphicFramePr/>
      </xdr:nvGraphicFramePr>
      <xdr:xfrm>
        <a:off x="4651920" y="421956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6</xdr:row>
      <xdr:rowOff>0</xdr:rowOff>
    </xdr:from>
    <xdr:to>
      <xdr:col>9</xdr:col>
      <xdr:colOff>176040</xdr:colOff>
      <xdr:row>28</xdr:row>
      <xdr:rowOff>128520</xdr:rowOff>
    </xdr:to>
    <xdr:graphicFrame>
      <xdr:nvGraphicFramePr>
        <xdr:cNvPr id="1" name="Chart 2"/>
        <xdr:cNvGraphicFramePr/>
      </xdr:nvGraphicFramePr>
      <xdr:xfrm>
        <a:off x="3735720" y="193356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38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22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6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3" t="n">
        <v>4</v>
      </c>
      <c r="I2" s="4" t="n">
        <v>1717.61</v>
      </c>
      <c r="J2" s="2" t="s">
        <v>17</v>
      </c>
    </row>
    <row r="3" customFormat="false" ht="15" hidden="false" customHeight="false" outlineLevel="0" collapsed="false">
      <c r="A3" s="5" t="s">
        <v>18</v>
      </c>
      <c r="B3" s="5" t="s">
        <v>19</v>
      </c>
      <c r="C3" s="5" t="s">
        <v>12</v>
      </c>
      <c r="D3" s="5" t="s">
        <v>20</v>
      </c>
      <c r="E3" s="5" t="s">
        <v>21</v>
      </c>
      <c r="F3" s="5" t="s">
        <v>15</v>
      </c>
      <c r="G3" s="5" t="s">
        <v>22</v>
      </c>
      <c r="H3" s="6" t="n">
        <v>20</v>
      </c>
      <c r="I3" s="7" t="n">
        <v>144.22</v>
      </c>
      <c r="J3" s="5" t="s">
        <v>23</v>
      </c>
    </row>
    <row r="4" customFormat="false" ht="15" hidden="false" customHeight="false" outlineLevel="0" collapsed="false">
      <c r="A4" s="2" t="s">
        <v>24</v>
      </c>
      <c r="B4" s="2" t="s">
        <v>25</v>
      </c>
      <c r="C4" s="2" t="s">
        <v>26</v>
      </c>
      <c r="D4" s="2" t="s">
        <v>27</v>
      </c>
      <c r="E4" s="2" t="s">
        <v>21</v>
      </c>
      <c r="F4" s="2" t="s">
        <v>15</v>
      </c>
      <c r="G4" s="2" t="s">
        <v>22</v>
      </c>
      <c r="H4" s="3" t="n">
        <v>1</v>
      </c>
      <c r="I4" s="4" t="n">
        <v>1916.31</v>
      </c>
      <c r="J4" s="2" t="s">
        <v>17</v>
      </c>
    </row>
    <row r="5" customFormat="false" ht="15" hidden="false" customHeight="false" outlineLevel="0" collapsed="false">
      <c r="A5" s="5" t="s">
        <v>28</v>
      </c>
      <c r="B5" s="5" t="s">
        <v>29</v>
      </c>
      <c r="C5" s="5" t="s">
        <v>30</v>
      </c>
      <c r="D5" s="5" t="s">
        <v>31</v>
      </c>
      <c r="E5" s="5" t="s">
        <v>32</v>
      </c>
      <c r="F5" s="5" t="s">
        <v>15</v>
      </c>
      <c r="G5" s="5" t="s">
        <v>33</v>
      </c>
      <c r="H5" s="6" t="n">
        <v>11</v>
      </c>
      <c r="I5" s="7" t="n">
        <v>327.35</v>
      </c>
      <c r="J5" s="5" t="s">
        <v>34</v>
      </c>
    </row>
    <row r="6" customFormat="false" ht="15" hidden="false" customHeight="false" outlineLevel="0" collapsed="false">
      <c r="A6" s="2" t="s">
        <v>35</v>
      </c>
      <c r="B6" s="2" t="s">
        <v>36</v>
      </c>
      <c r="C6" s="2" t="s">
        <v>30</v>
      </c>
      <c r="D6" s="2" t="s">
        <v>31</v>
      </c>
      <c r="E6" s="2" t="s">
        <v>32</v>
      </c>
      <c r="F6" s="2" t="s">
        <v>37</v>
      </c>
      <c r="G6" s="2" t="s">
        <v>16</v>
      </c>
      <c r="H6" s="2"/>
      <c r="I6" s="2"/>
      <c r="J6" s="2" t="s">
        <v>38</v>
      </c>
    </row>
    <row r="7" customFormat="false" ht="15" hidden="false" customHeight="false" outlineLevel="0" collapsed="false">
      <c r="A7" s="5" t="s">
        <v>39</v>
      </c>
      <c r="B7" s="5" t="s">
        <v>40</v>
      </c>
      <c r="C7" s="5" t="s">
        <v>26</v>
      </c>
      <c r="D7" s="5" t="s">
        <v>41</v>
      </c>
      <c r="E7" s="5" t="s">
        <v>21</v>
      </c>
      <c r="F7" s="5" t="s">
        <v>15</v>
      </c>
      <c r="G7" s="5" t="s">
        <v>16</v>
      </c>
      <c r="H7" s="6" t="n">
        <v>20</v>
      </c>
      <c r="I7" s="7" t="n">
        <v>2222.79</v>
      </c>
      <c r="J7" s="5" t="s">
        <v>42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s">
        <v>21</v>
      </c>
      <c r="F8" s="2" t="s">
        <v>15</v>
      </c>
      <c r="G8" s="2" t="s">
        <v>47</v>
      </c>
      <c r="H8" s="3" t="n">
        <v>3</v>
      </c>
      <c r="I8" s="4" t="n">
        <v>2149.87</v>
      </c>
      <c r="J8" s="2" t="s">
        <v>34</v>
      </c>
    </row>
    <row r="9" customFormat="false" ht="15" hidden="false" customHeight="false" outlineLevel="0" collapsed="false">
      <c r="A9" s="5" t="s">
        <v>48</v>
      </c>
      <c r="B9" s="5" t="s">
        <v>49</v>
      </c>
      <c r="C9" s="5" t="s">
        <v>50</v>
      </c>
      <c r="D9" s="5" t="s">
        <v>51</v>
      </c>
      <c r="E9" s="5" t="s">
        <v>32</v>
      </c>
      <c r="F9" s="5" t="s">
        <v>15</v>
      </c>
      <c r="G9" s="5" t="s">
        <v>22</v>
      </c>
      <c r="H9" s="6" t="n">
        <v>12</v>
      </c>
      <c r="I9" s="7" t="n">
        <v>587.01</v>
      </c>
      <c r="J9" s="5" t="s">
        <v>38</v>
      </c>
    </row>
    <row r="10" customFormat="false" ht="15" hidden="false" customHeight="false" outlineLevel="0" collapsed="false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21</v>
      </c>
      <c r="F10" s="2" t="s">
        <v>15</v>
      </c>
      <c r="G10" s="2" t="s">
        <v>56</v>
      </c>
      <c r="H10" s="3" t="n">
        <v>18</v>
      </c>
      <c r="I10" s="4" t="n">
        <v>611.47</v>
      </c>
      <c r="J10" s="2" t="s">
        <v>38</v>
      </c>
    </row>
    <row r="11" customFormat="false" ht="15" hidden="false" customHeight="false" outlineLevel="0" collapsed="false">
      <c r="A11" s="5" t="s">
        <v>57</v>
      </c>
      <c r="B11" s="5" t="s">
        <v>58</v>
      </c>
      <c r="C11" s="5" t="s">
        <v>54</v>
      </c>
      <c r="D11" s="5" t="s">
        <v>55</v>
      </c>
      <c r="E11" s="5" t="s">
        <v>14</v>
      </c>
      <c r="F11" s="5" t="s">
        <v>37</v>
      </c>
      <c r="G11" s="5" t="s">
        <v>33</v>
      </c>
      <c r="H11" s="5"/>
      <c r="I11" s="5"/>
      <c r="J11" s="5" t="s">
        <v>42</v>
      </c>
    </row>
    <row r="12" customFormat="false" ht="15" hidden="false" customHeight="false" outlineLevel="0" collapsed="false">
      <c r="A12" s="2" t="s">
        <v>59</v>
      </c>
      <c r="B12" s="2" t="s">
        <v>53</v>
      </c>
      <c r="C12" s="2" t="s">
        <v>30</v>
      </c>
      <c r="D12" s="2" t="s">
        <v>60</v>
      </c>
      <c r="E12" s="2" t="s">
        <v>21</v>
      </c>
      <c r="F12" s="2" t="s">
        <v>15</v>
      </c>
      <c r="G12" s="2" t="s">
        <v>61</v>
      </c>
      <c r="H12" s="3" t="n">
        <v>15</v>
      </c>
      <c r="I12" s="4" t="n">
        <v>425.75</v>
      </c>
      <c r="J12" s="2" t="s">
        <v>23</v>
      </c>
    </row>
    <row r="13" customFormat="false" ht="15" hidden="false" customHeight="false" outlineLevel="0" collapsed="false">
      <c r="A13" s="5" t="s">
        <v>62</v>
      </c>
      <c r="B13" s="5" t="s">
        <v>63</v>
      </c>
      <c r="C13" s="5" t="s">
        <v>64</v>
      </c>
      <c r="D13" s="5" t="s">
        <v>65</v>
      </c>
      <c r="E13" s="5" t="s">
        <v>14</v>
      </c>
      <c r="F13" s="5" t="s">
        <v>15</v>
      </c>
      <c r="G13" s="5" t="s">
        <v>16</v>
      </c>
      <c r="H13" s="6" t="n">
        <v>13</v>
      </c>
      <c r="I13" s="7" t="n">
        <v>956.03</v>
      </c>
      <c r="J13" s="5" t="s">
        <v>17</v>
      </c>
    </row>
    <row r="14" customFormat="false" ht="15" hidden="false" customHeight="false" outlineLevel="0" collapsed="false">
      <c r="A14" s="2" t="s">
        <v>66</v>
      </c>
      <c r="B14" s="2" t="s">
        <v>67</v>
      </c>
      <c r="C14" s="2" t="s">
        <v>45</v>
      </c>
      <c r="D14" s="2" t="s">
        <v>68</v>
      </c>
      <c r="E14" s="2" t="s">
        <v>14</v>
      </c>
      <c r="F14" s="2" t="s">
        <v>37</v>
      </c>
      <c r="G14" s="2" t="s">
        <v>56</v>
      </c>
      <c r="H14" s="2"/>
      <c r="I14" s="2"/>
      <c r="J14" s="2" t="s">
        <v>17</v>
      </c>
    </row>
    <row r="15" customFormat="false" ht="15" hidden="false" customHeight="false" outlineLevel="0" collapsed="false">
      <c r="A15" s="5" t="s">
        <v>69</v>
      </c>
      <c r="B15" s="5" t="s">
        <v>70</v>
      </c>
      <c r="C15" s="5" t="s">
        <v>45</v>
      </c>
      <c r="D15" s="5" t="s">
        <v>46</v>
      </c>
      <c r="E15" s="5" t="s">
        <v>32</v>
      </c>
      <c r="F15" s="5" t="s">
        <v>15</v>
      </c>
      <c r="G15" s="5" t="s">
        <v>22</v>
      </c>
      <c r="H15" s="6" t="n">
        <v>17</v>
      </c>
      <c r="I15" s="7" t="n">
        <v>688.42</v>
      </c>
      <c r="J15" s="5" t="s">
        <v>38</v>
      </c>
    </row>
    <row r="16" customFormat="false" ht="15" hidden="false" customHeight="false" outlineLevel="0" collapsed="false">
      <c r="A16" s="2" t="s">
        <v>71</v>
      </c>
      <c r="B16" s="2" t="s">
        <v>72</v>
      </c>
      <c r="C16" s="2" t="s">
        <v>64</v>
      </c>
      <c r="D16" s="2" t="s">
        <v>73</v>
      </c>
      <c r="E16" s="2" t="s">
        <v>14</v>
      </c>
      <c r="F16" s="2" t="s">
        <v>15</v>
      </c>
      <c r="G16" s="2" t="s">
        <v>22</v>
      </c>
      <c r="H16" s="3" t="n">
        <v>14</v>
      </c>
      <c r="I16" s="4" t="n">
        <v>462.74</v>
      </c>
      <c r="J16" s="2" t="s">
        <v>34</v>
      </c>
    </row>
    <row r="17" customFormat="false" ht="15" hidden="false" customHeight="false" outlineLevel="0" collapsed="false">
      <c r="A17" s="5" t="s">
        <v>74</v>
      </c>
      <c r="B17" s="5" t="s">
        <v>53</v>
      </c>
      <c r="C17" s="5" t="s">
        <v>75</v>
      </c>
      <c r="D17" s="5" t="s">
        <v>76</v>
      </c>
      <c r="E17" s="5" t="s">
        <v>32</v>
      </c>
      <c r="F17" s="5" t="s">
        <v>15</v>
      </c>
      <c r="G17" s="5" t="s">
        <v>61</v>
      </c>
      <c r="H17" s="6" t="n">
        <v>10</v>
      </c>
      <c r="I17" s="7" t="n">
        <v>2116.84</v>
      </c>
      <c r="J17" s="5" t="s">
        <v>34</v>
      </c>
    </row>
    <row r="18" customFormat="false" ht="15" hidden="false" customHeight="false" outlineLevel="0" collapsed="false">
      <c r="A18" s="2" t="s">
        <v>77</v>
      </c>
      <c r="B18" s="2" t="s">
        <v>78</v>
      </c>
      <c r="C18" s="2" t="s">
        <v>75</v>
      </c>
      <c r="D18" s="2" t="s">
        <v>79</v>
      </c>
      <c r="E18" s="2" t="s">
        <v>32</v>
      </c>
      <c r="F18" s="2" t="s">
        <v>37</v>
      </c>
      <c r="G18" s="2" t="s">
        <v>16</v>
      </c>
      <c r="H18" s="2"/>
      <c r="I18" s="2"/>
      <c r="J18" s="2" t="s">
        <v>34</v>
      </c>
    </row>
    <row r="19" customFormat="false" ht="15" hidden="false" customHeight="false" outlineLevel="0" collapsed="false">
      <c r="A19" s="5" t="s">
        <v>80</v>
      </c>
      <c r="B19" s="5" t="s">
        <v>81</v>
      </c>
      <c r="C19" s="5" t="s">
        <v>12</v>
      </c>
      <c r="D19" s="5" t="s">
        <v>20</v>
      </c>
      <c r="E19" s="5" t="s">
        <v>21</v>
      </c>
      <c r="F19" s="5" t="s">
        <v>15</v>
      </c>
      <c r="G19" s="5" t="s">
        <v>16</v>
      </c>
      <c r="H19" s="6" t="n">
        <v>10</v>
      </c>
      <c r="I19" s="7" t="n">
        <v>659.47</v>
      </c>
      <c r="J19" s="5" t="s">
        <v>38</v>
      </c>
    </row>
    <row r="20" customFormat="false" ht="15" hidden="false" customHeight="false" outlineLevel="0" collapsed="false">
      <c r="A20" s="2" t="s">
        <v>82</v>
      </c>
      <c r="B20" s="2" t="s">
        <v>83</v>
      </c>
      <c r="C20" s="2" t="s">
        <v>45</v>
      </c>
      <c r="D20" s="2" t="s">
        <v>68</v>
      </c>
      <c r="E20" s="2" t="s">
        <v>14</v>
      </c>
      <c r="F20" s="2" t="s">
        <v>37</v>
      </c>
      <c r="G20" s="2" t="s">
        <v>61</v>
      </c>
      <c r="H20" s="2"/>
      <c r="I20" s="2"/>
      <c r="J20" s="2" t="s">
        <v>17</v>
      </c>
    </row>
    <row r="21" customFormat="false" ht="15" hidden="false" customHeight="false" outlineLevel="0" collapsed="false">
      <c r="A21" s="5" t="s">
        <v>84</v>
      </c>
      <c r="B21" s="5" t="s">
        <v>85</v>
      </c>
      <c r="C21" s="5" t="s">
        <v>75</v>
      </c>
      <c r="D21" s="5" t="s">
        <v>76</v>
      </c>
      <c r="E21" s="5" t="s">
        <v>32</v>
      </c>
      <c r="F21" s="5" t="s">
        <v>37</v>
      </c>
      <c r="G21" s="5" t="s">
        <v>16</v>
      </c>
      <c r="H21" s="5"/>
      <c r="I21" s="5"/>
      <c r="J21" s="5" t="s">
        <v>42</v>
      </c>
    </row>
    <row r="22" customFormat="false" ht="15" hidden="false" customHeight="false" outlineLevel="0" collapsed="false">
      <c r="A22" s="2" t="s">
        <v>86</v>
      </c>
      <c r="B22" s="2" t="s">
        <v>87</v>
      </c>
      <c r="C22" s="2" t="s">
        <v>64</v>
      </c>
      <c r="D22" s="2" t="s">
        <v>88</v>
      </c>
      <c r="E22" s="2" t="s">
        <v>32</v>
      </c>
      <c r="F22" s="2" t="s">
        <v>15</v>
      </c>
      <c r="G22" s="2" t="s">
        <v>33</v>
      </c>
      <c r="H22" s="3" t="n">
        <v>15</v>
      </c>
      <c r="I22" s="4" t="n">
        <v>2257.07</v>
      </c>
      <c r="J22" s="2" t="s">
        <v>42</v>
      </c>
    </row>
    <row r="23" customFormat="false" ht="15" hidden="false" customHeight="false" outlineLevel="0" collapsed="false">
      <c r="A23" s="5" t="s">
        <v>89</v>
      </c>
      <c r="B23" s="5" t="s">
        <v>90</v>
      </c>
      <c r="C23" s="5" t="s">
        <v>54</v>
      </c>
      <c r="D23" s="5" t="s">
        <v>91</v>
      </c>
      <c r="E23" s="5" t="s">
        <v>21</v>
      </c>
      <c r="F23" s="5" t="s">
        <v>15</v>
      </c>
      <c r="G23" s="5" t="s">
        <v>33</v>
      </c>
      <c r="H23" s="6" t="n">
        <v>8</v>
      </c>
      <c r="I23" s="7" t="n">
        <v>1504.03</v>
      </c>
      <c r="J23" s="5" t="s">
        <v>38</v>
      </c>
    </row>
    <row r="24" customFormat="false" ht="15" hidden="false" customHeight="false" outlineLevel="0" collapsed="false">
      <c r="A24" s="2" t="s">
        <v>92</v>
      </c>
      <c r="B24" s="2" t="s">
        <v>93</v>
      </c>
      <c r="C24" s="2" t="s">
        <v>54</v>
      </c>
      <c r="D24" s="2" t="s">
        <v>55</v>
      </c>
      <c r="E24" s="2" t="s">
        <v>21</v>
      </c>
      <c r="F24" s="2" t="s">
        <v>15</v>
      </c>
      <c r="G24" s="2" t="s">
        <v>22</v>
      </c>
      <c r="H24" s="3" t="n">
        <v>3</v>
      </c>
      <c r="I24" s="4" t="n">
        <v>1324.26</v>
      </c>
      <c r="J24" s="2" t="s">
        <v>17</v>
      </c>
    </row>
    <row r="25" customFormat="false" ht="15" hidden="false" customHeight="false" outlineLevel="0" collapsed="false">
      <c r="A25" s="5" t="s">
        <v>94</v>
      </c>
      <c r="B25" s="5" t="s">
        <v>95</v>
      </c>
      <c r="C25" s="5" t="s">
        <v>54</v>
      </c>
      <c r="D25" s="5" t="s">
        <v>96</v>
      </c>
      <c r="E25" s="5" t="s">
        <v>32</v>
      </c>
      <c r="F25" s="5" t="s">
        <v>37</v>
      </c>
      <c r="G25" s="5" t="s">
        <v>61</v>
      </c>
      <c r="H25" s="5"/>
      <c r="I25" s="5"/>
      <c r="J25" s="5" t="s">
        <v>17</v>
      </c>
    </row>
    <row r="26" customFormat="false" ht="15" hidden="false" customHeight="false" outlineLevel="0" collapsed="false">
      <c r="A26" s="2" t="s">
        <v>97</v>
      </c>
      <c r="B26" s="2" t="s">
        <v>85</v>
      </c>
      <c r="C26" s="2" t="s">
        <v>26</v>
      </c>
      <c r="D26" s="2" t="s">
        <v>98</v>
      </c>
      <c r="E26" s="2" t="s">
        <v>21</v>
      </c>
      <c r="F26" s="2" t="s">
        <v>15</v>
      </c>
      <c r="G26" s="2" t="s">
        <v>56</v>
      </c>
      <c r="H26" s="3" t="n">
        <v>12</v>
      </c>
      <c r="I26" s="4" t="n">
        <v>1105.06</v>
      </c>
      <c r="J26" s="2" t="s">
        <v>38</v>
      </c>
    </row>
    <row r="27" customFormat="false" ht="15" hidden="false" customHeight="false" outlineLevel="0" collapsed="false">
      <c r="A27" s="5" t="s">
        <v>99</v>
      </c>
      <c r="B27" s="5" t="s">
        <v>100</v>
      </c>
      <c r="C27" s="5" t="s">
        <v>45</v>
      </c>
      <c r="D27" s="5" t="s">
        <v>46</v>
      </c>
      <c r="E27" s="5" t="s">
        <v>21</v>
      </c>
      <c r="F27" s="5" t="s">
        <v>37</v>
      </c>
      <c r="G27" s="5" t="s">
        <v>61</v>
      </c>
      <c r="H27" s="5"/>
      <c r="I27" s="5"/>
      <c r="J27" s="5" t="s">
        <v>42</v>
      </c>
    </row>
    <row r="28" customFormat="false" ht="15" hidden="false" customHeight="false" outlineLevel="0" collapsed="false">
      <c r="A28" s="2" t="s">
        <v>101</v>
      </c>
      <c r="B28" s="2" t="s">
        <v>102</v>
      </c>
      <c r="C28" s="2" t="s">
        <v>54</v>
      </c>
      <c r="D28" s="2" t="s">
        <v>91</v>
      </c>
      <c r="E28" s="2" t="s">
        <v>32</v>
      </c>
      <c r="F28" s="2" t="s">
        <v>15</v>
      </c>
      <c r="G28" s="2" t="s">
        <v>47</v>
      </c>
      <c r="H28" s="3" t="n">
        <v>9</v>
      </c>
      <c r="I28" s="4" t="n">
        <v>1199.56</v>
      </c>
      <c r="J28" s="2" t="s">
        <v>23</v>
      </c>
    </row>
    <row r="29" customFormat="false" ht="15" hidden="false" customHeight="false" outlineLevel="0" collapsed="false">
      <c r="A29" s="5" t="s">
        <v>103</v>
      </c>
      <c r="B29" s="5" t="s">
        <v>81</v>
      </c>
      <c r="C29" s="5" t="s">
        <v>45</v>
      </c>
      <c r="D29" s="5" t="s">
        <v>46</v>
      </c>
      <c r="E29" s="5" t="s">
        <v>21</v>
      </c>
      <c r="F29" s="5" t="s">
        <v>104</v>
      </c>
      <c r="G29" s="5" t="s">
        <v>33</v>
      </c>
      <c r="H29" s="5"/>
      <c r="I29" s="5"/>
      <c r="J29" s="5" t="s">
        <v>42</v>
      </c>
    </row>
    <row r="30" customFormat="false" ht="15" hidden="false" customHeight="false" outlineLevel="0" collapsed="false">
      <c r="A30" s="2" t="s">
        <v>105</v>
      </c>
      <c r="B30" s="2" t="s">
        <v>106</v>
      </c>
      <c r="C30" s="2" t="s">
        <v>75</v>
      </c>
      <c r="D30" s="2" t="s">
        <v>76</v>
      </c>
      <c r="E30" s="2" t="s">
        <v>32</v>
      </c>
      <c r="F30" s="2" t="s">
        <v>15</v>
      </c>
      <c r="G30" s="2" t="s">
        <v>47</v>
      </c>
      <c r="H30" s="3" t="n">
        <v>13</v>
      </c>
      <c r="I30" s="4" t="n">
        <v>2263.91</v>
      </c>
      <c r="J30" s="2" t="s">
        <v>38</v>
      </c>
    </row>
    <row r="31" customFormat="false" ht="15" hidden="false" customHeight="false" outlineLevel="0" collapsed="false">
      <c r="A31" s="5" t="s">
        <v>107</v>
      </c>
      <c r="B31" s="5" t="s">
        <v>108</v>
      </c>
      <c r="C31" s="5" t="s">
        <v>26</v>
      </c>
      <c r="D31" s="5" t="s">
        <v>41</v>
      </c>
      <c r="E31" s="5" t="s">
        <v>32</v>
      </c>
      <c r="F31" s="5" t="s">
        <v>37</v>
      </c>
      <c r="G31" s="5" t="s">
        <v>47</v>
      </c>
      <c r="H31" s="5"/>
      <c r="I31" s="5"/>
      <c r="J31" s="5" t="s">
        <v>23</v>
      </c>
    </row>
    <row r="32" customFormat="false" ht="15" hidden="false" customHeight="false" outlineLevel="0" collapsed="false">
      <c r="A32" s="2" t="s">
        <v>109</v>
      </c>
      <c r="B32" s="2" t="s">
        <v>110</v>
      </c>
      <c r="C32" s="2" t="s">
        <v>50</v>
      </c>
      <c r="D32" s="2" t="s">
        <v>111</v>
      </c>
      <c r="E32" s="2" t="s">
        <v>21</v>
      </c>
      <c r="F32" s="2" t="s">
        <v>15</v>
      </c>
      <c r="G32" s="2" t="s">
        <v>22</v>
      </c>
      <c r="H32" s="3" t="n">
        <v>19</v>
      </c>
      <c r="I32" s="4" t="n">
        <v>1860.48</v>
      </c>
      <c r="J32" s="2" t="s">
        <v>34</v>
      </c>
    </row>
    <row r="33" customFormat="false" ht="15" hidden="false" customHeight="false" outlineLevel="0" collapsed="false">
      <c r="A33" s="5" t="s">
        <v>112</v>
      </c>
      <c r="B33" s="5" t="s">
        <v>113</v>
      </c>
      <c r="C33" s="5" t="s">
        <v>12</v>
      </c>
      <c r="D33" s="5" t="s">
        <v>13</v>
      </c>
      <c r="E33" s="5" t="s">
        <v>32</v>
      </c>
      <c r="F33" s="5" t="s">
        <v>15</v>
      </c>
      <c r="G33" s="5" t="s">
        <v>56</v>
      </c>
      <c r="H33" s="6" t="n">
        <v>17</v>
      </c>
      <c r="I33" s="7" t="n">
        <v>460.99</v>
      </c>
      <c r="J33" s="5" t="s">
        <v>42</v>
      </c>
    </row>
    <row r="34" customFormat="false" ht="15" hidden="false" customHeight="false" outlineLevel="0" collapsed="false">
      <c r="A34" s="2" t="s">
        <v>114</v>
      </c>
      <c r="B34" s="2" t="s">
        <v>115</v>
      </c>
      <c r="C34" s="2" t="s">
        <v>45</v>
      </c>
      <c r="D34" s="2" t="s">
        <v>68</v>
      </c>
      <c r="E34" s="2" t="s">
        <v>32</v>
      </c>
      <c r="F34" s="2" t="s">
        <v>15</v>
      </c>
      <c r="G34" s="2" t="s">
        <v>16</v>
      </c>
      <c r="H34" s="3" t="n">
        <v>13</v>
      </c>
      <c r="I34" s="4" t="n">
        <v>370.13</v>
      </c>
      <c r="J34" s="2" t="s">
        <v>23</v>
      </c>
    </row>
    <row r="35" customFormat="false" ht="15" hidden="false" customHeight="false" outlineLevel="0" collapsed="false">
      <c r="A35" s="5" t="s">
        <v>116</v>
      </c>
      <c r="B35" s="5" t="s">
        <v>117</v>
      </c>
      <c r="C35" s="5" t="s">
        <v>12</v>
      </c>
      <c r="D35" s="5" t="s">
        <v>118</v>
      </c>
      <c r="E35" s="5" t="s">
        <v>32</v>
      </c>
      <c r="F35" s="5" t="s">
        <v>15</v>
      </c>
      <c r="G35" s="5" t="s">
        <v>61</v>
      </c>
      <c r="H35" s="6" t="n">
        <v>19</v>
      </c>
      <c r="I35" s="7" t="n">
        <v>1345.13</v>
      </c>
      <c r="J35" s="5" t="s">
        <v>34</v>
      </c>
    </row>
    <row r="36" customFormat="false" ht="15" hidden="false" customHeight="false" outlineLevel="0" collapsed="false">
      <c r="A36" s="2" t="s">
        <v>119</v>
      </c>
      <c r="B36" s="2" t="s">
        <v>120</v>
      </c>
      <c r="C36" s="2" t="s">
        <v>54</v>
      </c>
      <c r="D36" s="2" t="s">
        <v>91</v>
      </c>
      <c r="E36" s="2" t="s">
        <v>32</v>
      </c>
      <c r="F36" s="2" t="s">
        <v>15</v>
      </c>
      <c r="G36" s="2" t="s">
        <v>33</v>
      </c>
      <c r="H36" s="3" t="n">
        <v>10</v>
      </c>
      <c r="I36" s="4" t="n">
        <v>1186.48</v>
      </c>
      <c r="J36" s="2" t="s">
        <v>17</v>
      </c>
    </row>
    <row r="37" customFormat="false" ht="15" hidden="false" customHeight="false" outlineLevel="0" collapsed="false">
      <c r="A37" s="5" t="s">
        <v>121</v>
      </c>
      <c r="B37" s="5" t="s">
        <v>122</v>
      </c>
      <c r="C37" s="5" t="s">
        <v>45</v>
      </c>
      <c r="D37" s="5" t="s">
        <v>46</v>
      </c>
      <c r="E37" s="5" t="s">
        <v>21</v>
      </c>
      <c r="F37" s="5" t="s">
        <v>15</v>
      </c>
      <c r="G37" s="5" t="s">
        <v>61</v>
      </c>
      <c r="H37" s="6" t="n">
        <v>5</v>
      </c>
      <c r="I37" s="7" t="n">
        <v>2338.49</v>
      </c>
      <c r="J37" s="5" t="s">
        <v>34</v>
      </c>
    </row>
    <row r="38" customFormat="false" ht="15" hidden="false" customHeight="false" outlineLevel="0" collapsed="false">
      <c r="A38" s="2" t="s">
        <v>123</v>
      </c>
      <c r="B38" s="2" t="s">
        <v>124</v>
      </c>
      <c r="C38" s="2" t="s">
        <v>64</v>
      </c>
      <c r="D38" s="2" t="s">
        <v>125</v>
      </c>
      <c r="E38" s="2" t="s">
        <v>21</v>
      </c>
      <c r="F38" s="2" t="s">
        <v>37</v>
      </c>
      <c r="G38" s="2" t="s">
        <v>16</v>
      </c>
      <c r="H38" s="2"/>
      <c r="I38" s="2"/>
      <c r="J38" s="2" t="s">
        <v>23</v>
      </c>
    </row>
    <row r="39" customFormat="false" ht="15" hidden="false" customHeight="false" outlineLevel="0" collapsed="false">
      <c r="A39" s="5" t="s">
        <v>126</v>
      </c>
      <c r="B39" s="5" t="s">
        <v>127</v>
      </c>
      <c r="C39" s="5" t="s">
        <v>12</v>
      </c>
      <c r="D39" s="5" t="s">
        <v>20</v>
      </c>
      <c r="E39" s="5" t="s">
        <v>14</v>
      </c>
      <c r="F39" s="5" t="s">
        <v>15</v>
      </c>
      <c r="G39" s="5" t="s">
        <v>128</v>
      </c>
      <c r="H39" s="6" t="n">
        <v>4</v>
      </c>
      <c r="I39" s="7" t="n">
        <v>2352.21</v>
      </c>
      <c r="J39" s="5" t="s">
        <v>38</v>
      </c>
    </row>
    <row r="40" customFormat="false" ht="15" hidden="false" customHeight="false" outlineLevel="0" collapsed="false">
      <c r="A40" s="2" t="s">
        <v>129</v>
      </c>
      <c r="B40" s="2" t="s">
        <v>130</v>
      </c>
      <c r="C40" s="2" t="s">
        <v>75</v>
      </c>
      <c r="D40" s="2" t="s">
        <v>131</v>
      </c>
      <c r="E40" s="2" t="s">
        <v>32</v>
      </c>
      <c r="F40" s="2" t="s">
        <v>15</v>
      </c>
      <c r="G40" s="2" t="s">
        <v>16</v>
      </c>
      <c r="H40" s="3" t="n">
        <v>11</v>
      </c>
      <c r="I40" s="4" t="n">
        <v>572.71</v>
      </c>
      <c r="J40" s="2" t="s">
        <v>17</v>
      </c>
    </row>
    <row r="41" customFormat="false" ht="15" hidden="false" customHeight="false" outlineLevel="0" collapsed="false">
      <c r="A41" s="5" t="s">
        <v>132</v>
      </c>
      <c r="B41" s="5" t="s">
        <v>133</v>
      </c>
      <c r="C41" s="5" t="s">
        <v>64</v>
      </c>
      <c r="D41" s="5" t="s">
        <v>88</v>
      </c>
      <c r="E41" s="5" t="s">
        <v>14</v>
      </c>
      <c r="F41" s="5" t="s">
        <v>37</v>
      </c>
      <c r="G41" s="5" t="s">
        <v>56</v>
      </c>
      <c r="H41" s="5"/>
      <c r="I41" s="5"/>
      <c r="J41" s="5" t="s">
        <v>34</v>
      </c>
    </row>
    <row r="42" customFormat="false" ht="15" hidden="false" customHeight="false" outlineLevel="0" collapsed="false">
      <c r="A42" s="2" t="s">
        <v>134</v>
      </c>
      <c r="B42" s="2" t="s">
        <v>135</v>
      </c>
      <c r="C42" s="2" t="s">
        <v>12</v>
      </c>
      <c r="D42" s="2" t="s">
        <v>118</v>
      </c>
      <c r="E42" s="2" t="s">
        <v>21</v>
      </c>
      <c r="F42" s="2" t="s">
        <v>37</v>
      </c>
      <c r="G42" s="2" t="s">
        <v>61</v>
      </c>
      <c r="H42" s="2"/>
      <c r="I42" s="2"/>
      <c r="J42" s="2" t="s">
        <v>17</v>
      </c>
    </row>
    <row r="43" customFormat="false" ht="15" hidden="false" customHeight="false" outlineLevel="0" collapsed="false">
      <c r="A43" s="5" t="s">
        <v>136</v>
      </c>
      <c r="B43" s="5" t="s">
        <v>130</v>
      </c>
      <c r="C43" s="5" t="s">
        <v>26</v>
      </c>
      <c r="D43" s="5" t="s">
        <v>41</v>
      </c>
      <c r="E43" s="5" t="s">
        <v>32</v>
      </c>
      <c r="F43" s="5" t="s">
        <v>15</v>
      </c>
      <c r="G43" s="5" t="s">
        <v>16</v>
      </c>
      <c r="H43" s="6" t="n">
        <v>5</v>
      </c>
      <c r="I43" s="7" t="n">
        <v>1400.33</v>
      </c>
      <c r="J43" s="5" t="s">
        <v>23</v>
      </c>
    </row>
    <row r="44" customFormat="false" ht="15" hidden="false" customHeight="false" outlineLevel="0" collapsed="false">
      <c r="A44" s="2" t="s">
        <v>137</v>
      </c>
      <c r="B44" s="2" t="s">
        <v>138</v>
      </c>
      <c r="C44" s="2" t="s">
        <v>75</v>
      </c>
      <c r="D44" s="2" t="s">
        <v>76</v>
      </c>
      <c r="E44" s="2" t="s">
        <v>32</v>
      </c>
      <c r="F44" s="2" t="s">
        <v>15</v>
      </c>
      <c r="G44" s="2" t="s">
        <v>22</v>
      </c>
      <c r="H44" s="3" t="n">
        <v>2</v>
      </c>
      <c r="I44" s="4" t="n">
        <v>2255.4</v>
      </c>
      <c r="J44" s="2" t="s">
        <v>42</v>
      </c>
    </row>
    <row r="45" customFormat="false" ht="15" hidden="false" customHeight="false" outlineLevel="0" collapsed="false">
      <c r="A45" s="5" t="s">
        <v>139</v>
      </c>
      <c r="B45" s="5" t="s">
        <v>140</v>
      </c>
      <c r="C45" s="5" t="s">
        <v>45</v>
      </c>
      <c r="D45" s="5" t="s">
        <v>68</v>
      </c>
      <c r="E45" s="5" t="s">
        <v>32</v>
      </c>
      <c r="F45" s="5" t="s">
        <v>15</v>
      </c>
      <c r="G45" s="5" t="s">
        <v>61</v>
      </c>
      <c r="H45" s="6" t="n">
        <v>14</v>
      </c>
      <c r="I45" s="7" t="n">
        <v>2436.69</v>
      </c>
      <c r="J45" s="5" t="s">
        <v>42</v>
      </c>
    </row>
    <row r="46" customFormat="false" ht="15" hidden="false" customHeight="false" outlineLevel="0" collapsed="false">
      <c r="A46" s="2" t="s">
        <v>141</v>
      </c>
      <c r="B46" s="2" t="s">
        <v>142</v>
      </c>
      <c r="C46" s="2" t="s">
        <v>75</v>
      </c>
      <c r="D46" s="2" t="s">
        <v>143</v>
      </c>
      <c r="E46" s="2" t="s">
        <v>14</v>
      </c>
      <c r="F46" s="2" t="s">
        <v>15</v>
      </c>
      <c r="G46" s="2" t="s">
        <v>56</v>
      </c>
      <c r="H46" s="3" t="n">
        <v>11</v>
      </c>
      <c r="I46" s="4" t="n">
        <v>1973.38</v>
      </c>
      <c r="J46" s="2" t="s">
        <v>42</v>
      </c>
    </row>
    <row r="47" customFormat="false" ht="15" hidden="false" customHeight="false" outlineLevel="0" collapsed="false">
      <c r="A47" s="5" t="s">
        <v>144</v>
      </c>
      <c r="B47" s="5" t="s">
        <v>145</v>
      </c>
      <c r="C47" s="5" t="s">
        <v>64</v>
      </c>
      <c r="D47" s="5" t="s">
        <v>73</v>
      </c>
      <c r="E47" s="5" t="s">
        <v>21</v>
      </c>
      <c r="F47" s="5" t="s">
        <v>37</v>
      </c>
      <c r="G47" s="5" t="s">
        <v>56</v>
      </c>
      <c r="H47" s="5"/>
      <c r="I47" s="5"/>
      <c r="J47" s="5" t="s">
        <v>17</v>
      </c>
    </row>
    <row r="48" customFormat="false" ht="15" hidden="false" customHeight="false" outlineLevel="0" collapsed="false">
      <c r="A48" s="2" t="s">
        <v>146</v>
      </c>
      <c r="B48" s="2" t="s">
        <v>147</v>
      </c>
      <c r="C48" s="2" t="s">
        <v>54</v>
      </c>
      <c r="D48" s="2" t="s">
        <v>148</v>
      </c>
      <c r="E48" s="2" t="s">
        <v>14</v>
      </c>
      <c r="F48" s="2" t="s">
        <v>15</v>
      </c>
      <c r="G48" s="2" t="s">
        <v>47</v>
      </c>
      <c r="H48" s="3" t="n">
        <v>8</v>
      </c>
      <c r="I48" s="4" t="n">
        <v>619.47</v>
      </c>
      <c r="J48" s="2" t="s">
        <v>34</v>
      </c>
    </row>
    <row r="49" customFormat="false" ht="15" hidden="false" customHeight="false" outlineLevel="0" collapsed="false">
      <c r="A49" s="5" t="s">
        <v>149</v>
      </c>
      <c r="B49" s="5" t="s">
        <v>150</v>
      </c>
      <c r="C49" s="5" t="s">
        <v>64</v>
      </c>
      <c r="D49" s="5" t="s">
        <v>125</v>
      </c>
      <c r="E49" s="5" t="s">
        <v>14</v>
      </c>
      <c r="F49" s="5" t="s">
        <v>104</v>
      </c>
      <c r="G49" s="5" t="s">
        <v>22</v>
      </c>
      <c r="H49" s="5"/>
      <c r="I49" s="5"/>
      <c r="J49" s="5" t="s">
        <v>23</v>
      </c>
    </row>
    <row r="50" customFormat="false" ht="15" hidden="false" customHeight="false" outlineLevel="0" collapsed="false">
      <c r="A50" s="2" t="s">
        <v>151</v>
      </c>
      <c r="B50" s="2" t="s">
        <v>152</v>
      </c>
      <c r="C50" s="2" t="s">
        <v>26</v>
      </c>
      <c r="D50" s="2" t="s">
        <v>153</v>
      </c>
      <c r="E50" s="2" t="s">
        <v>14</v>
      </c>
      <c r="F50" s="2" t="s">
        <v>37</v>
      </c>
      <c r="G50" s="2" t="s">
        <v>33</v>
      </c>
      <c r="H50" s="2"/>
      <c r="I50" s="2"/>
      <c r="J50" s="2" t="s">
        <v>34</v>
      </c>
    </row>
    <row r="51" customFormat="false" ht="15" hidden="false" customHeight="false" outlineLevel="0" collapsed="false">
      <c r="A51" s="5" t="s">
        <v>154</v>
      </c>
      <c r="B51" s="5" t="s">
        <v>155</v>
      </c>
      <c r="C51" s="5" t="s">
        <v>75</v>
      </c>
      <c r="D51" s="5" t="s">
        <v>79</v>
      </c>
      <c r="E51" s="5" t="s">
        <v>32</v>
      </c>
      <c r="F51" s="5" t="s">
        <v>104</v>
      </c>
      <c r="G51" s="5" t="s">
        <v>16</v>
      </c>
      <c r="H51" s="5"/>
      <c r="I51" s="5"/>
      <c r="J51" s="5" t="s">
        <v>17</v>
      </c>
    </row>
    <row r="52" customFormat="false" ht="15" hidden="false" customHeight="false" outlineLevel="0" collapsed="false">
      <c r="A52" s="2" t="s">
        <v>156</v>
      </c>
      <c r="B52" s="2" t="s">
        <v>157</v>
      </c>
      <c r="C52" s="2" t="s">
        <v>30</v>
      </c>
      <c r="D52" s="2" t="s">
        <v>60</v>
      </c>
      <c r="E52" s="2" t="s">
        <v>14</v>
      </c>
      <c r="F52" s="2" t="s">
        <v>15</v>
      </c>
      <c r="G52" s="2" t="s">
        <v>128</v>
      </c>
      <c r="H52" s="3" t="n">
        <v>17</v>
      </c>
      <c r="I52" s="4" t="n">
        <v>359.86</v>
      </c>
      <c r="J52" s="2" t="s">
        <v>38</v>
      </c>
    </row>
    <row r="53" customFormat="false" ht="15" hidden="false" customHeight="false" outlineLevel="0" collapsed="false">
      <c r="A53" s="5" t="s">
        <v>158</v>
      </c>
      <c r="B53" s="5" t="s">
        <v>159</v>
      </c>
      <c r="C53" s="5" t="s">
        <v>26</v>
      </c>
      <c r="D53" s="5" t="s">
        <v>27</v>
      </c>
      <c r="E53" s="5" t="s">
        <v>21</v>
      </c>
      <c r="F53" s="5" t="s">
        <v>104</v>
      </c>
      <c r="G53" s="5" t="s">
        <v>128</v>
      </c>
      <c r="H53" s="5"/>
      <c r="I53" s="5"/>
      <c r="J53" s="5" t="s">
        <v>17</v>
      </c>
    </row>
    <row r="54" customFormat="false" ht="15" hidden="false" customHeight="false" outlineLevel="0" collapsed="false">
      <c r="A54" s="2" t="s">
        <v>160</v>
      </c>
      <c r="B54" s="2" t="s">
        <v>157</v>
      </c>
      <c r="C54" s="2" t="s">
        <v>45</v>
      </c>
      <c r="D54" s="2" t="s">
        <v>161</v>
      </c>
      <c r="E54" s="2" t="s">
        <v>14</v>
      </c>
      <c r="F54" s="2" t="s">
        <v>104</v>
      </c>
      <c r="G54" s="2" t="s">
        <v>22</v>
      </c>
      <c r="H54" s="2"/>
      <c r="I54" s="2"/>
      <c r="J54" s="2" t="s">
        <v>38</v>
      </c>
    </row>
    <row r="55" customFormat="false" ht="15" hidden="false" customHeight="false" outlineLevel="0" collapsed="false">
      <c r="A55" s="5" t="s">
        <v>162</v>
      </c>
      <c r="B55" s="5" t="s">
        <v>152</v>
      </c>
      <c r="C55" s="5" t="s">
        <v>64</v>
      </c>
      <c r="D55" s="5" t="s">
        <v>65</v>
      </c>
      <c r="E55" s="5" t="s">
        <v>32</v>
      </c>
      <c r="F55" s="5" t="s">
        <v>15</v>
      </c>
      <c r="G55" s="5" t="s">
        <v>61</v>
      </c>
      <c r="H55" s="6" t="n">
        <v>13</v>
      </c>
      <c r="I55" s="7" t="n">
        <v>1767.24</v>
      </c>
      <c r="J55" s="5" t="s">
        <v>17</v>
      </c>
    </row>
    <row r="56" customFormat="false" ht="15" hidden="false" customHeight="false" outlineLevel="0" collapsed="false">
      <c r="A56" s="2" t="s">
        <v>163</v>
      </c>
      <c r="B56" s="2" t="s">
        <v>157</v>
      </c>
      <c r="C56" s="2" t="s">
        <v>26</v>
      </c>
      <c r="D56" s="2" t="s">
        <v>41</v>
      </c>
      <c r="E56" s="2" t="s">
        <v>14</v>
      </c>
      <c r="F56" s="2" t="s">
        <v>104</v>
      </c>
      <c r="G56" s="2" t="s">
        <v>47</v>
      </c>
      <c r="H56" s="2"/>
      <c r="I56" s="2"/>
      <c r="J56" s="2" t="s">
        <v>23</v>
      </c>
    </row>
    <row r="57" customFormat="false" ht="15" hidden="false" customHeight="false" outlineLevel="0" collapsed="false">
      <c r="A57" s="5" t="s">
        <v>164</v>
      </c>
      <c r="B57" s="5" t="s">
        <v>165</v>
      </c>
      <c r="C57" s="5" t="s">
        <v>12</v>
      </c>
      <c r="D57" s="5" t="s">
        <v>118</v>
      </c>
      <c r="E57" s="5" t="s">
        <v>32</v>
      </c>
      <c r="F57" s="5" t="s">
        <v>15</v>
      </c>
      <c r="G57" s="5" t="s">
        <v>47</v>
      </c>
      <c r="H57" s="6" t="n">
        <v>19</v>
      </c>
      <c r="I57" s="7" t="n">
        <v>1548.12</v>
      </c>
      <c r="J57" s="5" t="s">
        <v>17</v>
      </c>
    </row>
    <row r="58" customFormat="false" ht="15" hidden="false" customHeight="false" outlineLevel="0" collapsed="false">
      <c r="A58" s="2" t="s">
        <v>166</v>
      </c>
      <c r="B58" s="2" t="s">
        <v>167</v>
      </c>
      <c r="C58" s="2" t="s">
        <v>54</v>
      </c>
      <c r="D58" s="2" t="s">
        <v>148</v>
      </c>
      <c r="E58" s="2" t="s">
        <v>32</v>
      </c>
      <c r="F58" s="2" t="s">
        <v>37</v>
      </c>
      <c r="G58" s="2" t="s">
        <v>22</v>
      </c>
      <c r="H58" s="2"/>
      <c r="I58" s="2"/>
      <c r="J58" s="2" t="s">
        <v>38</v>
      </c>
    </row>
    <row r="59" customFormat="false" ht="15" hidden="false" customHeight="false" outlineLevel="0" collapsed="false">
      <c r="A59" s="5" t="s">
        <v>168</v>
      </c>
      <c r="B59" s="5" t="s">
        <v>169</v>
      </c>
      <c r="C59" s="5" t="s">
        <v>64</v>
      </c>
      <c r="D59" s="5" t="s">
        <v>65</v>
      </c>
      <c r="E59" s="5" t="s">
        <v>32</v>
      </c>
      <c r="F59" s="5" t="s">
        <v>15</v>
      </c>
      <c r="G59" s="5" t="s">
        <v>22</v>
      </c>
      <c r="H59" s="6" t="n">
        <v>3</v>
      </c>
      <c r="I59" s="7" t="n">
        <v>2060.58</v>
      </c>
      <c r="J59" s="5" t="s">
        <v>34</v>
      </c>
    </row>
    <row r="60" customFormat="false" ht="15" hidden="false" customHeight="false" outlineLevel="0" collapsed="false">
      <c r="A60" s="2" t="s">
        <v>170</v>
      </c>
      <c r="B60" s="2" t="s">
        <v>171</v>
      </c>
      <c r="C60" s="2" t="s">
        <v>54</v>
      </c>
      <c r="D60" s="2" t="s">
        <v>91</v>
      </c>
      <c r="E60" s="2" t="s">
        <v>14</v>
      </c>
      <c r="F60" s="2" t="s">
        <v>15</v>
      </c>
      <c r="G60" s="2" t="s">
        <v>47</v>
      </c>
      <c r="H60" s="3" t="n">
        <v>8</v>
      </c>
      <c r="I60" s="4" t="n">
        <v>2461.13</v>
      </c>
      <c r="J60" s="2" t="s">
        <v>17</v>
      </c>
    </row>
    <row r="61" customFormat="false" ht="15" hidden="false" customHeight="false" outlineLevel="0" collapsed="false">
      <c r="A61" s="5" t="s">
        <v>172</v>
      </c>
      <c r="B61" s="5" t="s">
        <v>173</v>
      </c>
      <c r="C61" s="5" t="s">
        <v>54</v>
      </c>
      <c r="D61" s="5" t="s">
        <v>91</v>
      </c>
      <c r="E61" s="5" t="s">
        <v>14</v>
      </c>
      <c r="F61" s="5" t="s">
        <v>15</v>
      </c>
      <c r="G61" s="5" t="s">
        <v>56</v>
      </c>
      <c r="H61" s="6" t="n">
        <v>8</v>
      </c>
      <c r="I61" s="7" t="n">
        <v>437.12</v>
      </c>
      <c r="J61" s="5" t="s">
        <v>38</v>
      </c>
    </row>
    <row r="62" customFormat="false" ht="15" hidden="false" customHeight="false" outlineLevel="0" collapsed="false">
      <c r="A62" s="2" t="s">
        <v>174</v>
      </c>
      <c r="B62" s="2" t="s">
        <v>175</v>
      </c>
      <c r="C62" s="2" t="s">
        <v>26</v>
      </c>
      <c r="D62" s="2" t="s">
        <v>98</v>
      </c>
      <c r="E62" s="2" t="s">
        <v>21</v>
      </c>
      <c r="F62" s="2" t="s">
        <v>37</v>
      </c>
      <c r="G62" s="2" t="s">
        <v>33</v>
      </c>
      <c r="H62" s="2"/>
      <c r="I62" s="2"/>
      <c r="J62" s="2" t="s">
        <v>23</v>
      </c>
    </row>
    <row r="63" customFormat="false" ht="15" hidden="false" customHeight="false" outlineLevel="0" collapsed="false">
      <c r="A63" s="5" t="s">
        <v>176</v>
      </c>
      <c r="B63" s="5" t="s">
        <v>177</v>
      </c>
      <c r="C63" s="5" t="s">
        <v>54</v>
      </c>
      <c r="D63" s="5" t="s">
        <v>55</v>
      </c>
      <c r="E63" s="5" t="s">
        <v>14</v>
      </c>
      <c r="F63" s="5" t="s">
        <v>15</v>
      </c>
      <c r="G63" s="5" t="s">
        <v>56</v>
      </c>
      <c r="H63" s="6" t="n">
        <v>15</v>
      </c>
      <c r="I63" s="7" t="n">
        <v>1695.54</v>
      </c>
      <c r="J63" s="5" t="s">
        <v>17</v>
      </c>
    </row>
    <row r="64" customFormat="false" ht="15" hidden="false" customHeight="false" outlineLevel="0" collapsed="false">
      <c r="A64" s="2" t="s">
        <v>178</v>
      </c>
      <c r="B64" s="2" t="s">
        <v>179</v>
      </c>
      <c r="C64" s="2" t="s">
        <v>26</v>
      </c>
      <c r="D64" s="2" t="s">
        <v>27</v>
      </c>
      <c r="E64" s="2" t="s">
        <v>14</v>
      </c>
      <c r="F64" s="2" t="s">
        <v>15</v>
      </c>
      <c r="G64" s="2" t="s">
        <v>56</v>
      </c>
      <c r="H64" s="3" t="n">
        <v>16</v>
      </c>
      <c r="I64" s="4" t="n">
        <v>1169.17</v>
      </c>
      <c r="J64" s="2" t="s">
        <v>34</v>
      </c>
    </row>
    <row r="65" customFormat="false" ht="15" hidden="false" customHeight="false" outlineLevel="0" collapsed="false">
      <c r="A65" s="5" t="s">
        <v>180</v>
      </c>
      <c r="B65" s="5" t="s">
        <v>181</v>
      </c>
      <c r="C65" s="5" t="s">
        <v>50</v>
      </c>
      <c r="D65" s="5" t="s">
        <v>51</v>
      </c>
      <c r="E65" s="5" t="s">
        <v>32</v>
      </c>
      <c r="F65" s="5" t="s">
        <v>15</v>
      </c>
      <c r="G65" s="5" t="s">
        <v>128</v>
      </c>
      <c r="H65" s="6" t="n">
        <v>10</v>
      </c>
      <c r="I65" s="7" t="n">
        <v>647.47</v>
      </c>
      <c r="J65" s="5" t="s">
        <v>23</v>
      </c>
    </row>
    <row r="66" customFormat="false" ht="15" hidden="false" customHeight="false" outlineLevel="0" collapsed="false">
      <c r="A66" s="2" t="s">
        <v>182</v>
      </c>
      <c r="B66" s="2" t="s">
        <v>175</v>
      </c>
      <c r="C66" s="2" t="s">
        <v>45</v>
      </c>
      <c r="D66" s="2" t="s">
        <v>46</v>
      </c>
      <c r="E66" s="2" t="s">
        <v>21</v>
      </c>
      <c r="F66" s="2" t="s">
        <v>15</v>
      </c>
      <c r="G66" s="2" t="s">
        <v>47</v>
      </c>
      <c r="H66" s="3" t="n">
        <v>5</v>
      </c>
      <c r="I66" s="4" t="n">
        <v>1789.53</v>
      </c>
      <c r="J66" s="2" t="s">
        <v>17</v>
      </c>
    </row>
    <row r="67" customFormat="false" ht="15" hidden="false" customHeight="false" outlineLevel="0" collapsed="false">
      <c r="A67" s="5" t="s">
        <v>183</v>
      </c>
      <c r="B67" s="5" t="s">
        <v>184</v>
      </c>
      <c r="C67" s="5" t="s">
        <v>30</v>
      </c>
      <c r="D67" s="5" t="s">
        <v>185</v>
      </c>
      <c r="E67" s="5" t="s">
        <v>32</v>
      </c>
      <c r="F67" s="5" t="s">
        <v>15</v>
      </c>
      <c r="G67" s="5" t="s">
        <v>56</v>
      </c>
      <c r="H67" s="6" t="n">
        <v>14</v>
      </c>
      <c r="I67" s="7" t="n">
        <v>1022.53</v>
      </c>
      <c r="J67" s="5" t="s">
        <v>23</v>
      </c>
    </row>
    <row r="68" customFormat="false" ht="15" hidden="false" customHeight="false" outlineLevel="0" collapsed="false">
      <c r="A68" s="2" t="s">
        <v>186</v>
      </c>
      <c r="B68" s="2" t="s">
        <v>187</v>
      </c>
      <c r="C68" s="2" t="s">
        <v>26</v>
      </c>
      <c r="D68" s="2" t="s">
        <v>98</v>
      </c>
      <c r="E68" s="2" t="s">
        <v>32</v>
      </c>
      <c r="F68" s="2" t="s">
        <v>104</v>
      </c>
      <c r="G68" s="2" t="s">
        <v>56</v>
      </c>
      <c r="H68" s="2"/>
      <c r="I68" s="2"/>
      <c r="J68" s="2" t="s">
        <v>17</v>
      </c>
    </row>
    <row r="69" customFormat="false" ht="15" hidden="false" customHeight="false" outlineLevel="0" collapsed="false">
      <c r="A69" s="5" t="s">
        <v>188</v>
      </c>
      <c r="B69" s="5" t="s">
        <v>189</v>
      </c>
      <c r="C69" s="5" t="s">
        <v>54</v>
      </c>
      <c r="D69" s="5" t="s">
        <v>96</v>
      </c>
      <c r="E69" s="5" t="s">
        <v>32</v>
      </c>
      <c r="F69" s="5" t="s">
        <v>15</v>
      </c>
      <c r="G69" s="5" t="s">
        <v>22</v>
      </c>
      <c r="H69" s="6" t="n">
        <v>1</v>
      </c>
      <c r="I69" s="7" t="n">
        <v>1021.03</v>
      </c>
      <c r="J69" s="5" t="s">
        <v>42</v>
      </c>
    </row>
    <row r="70" customFormat="false" ht="15" hidden="false" customHeight="false" outlineLevel="0" collapsed="false">
      <c r="A70" s="2" t="s">
        <v>190</v>
      </c>
      <c r="B70" s="2" t="s">
        <v>191</v>
      </c>
      <c r="C70" s="2" t="s">
        <v>50</v>
      </c>
      <c r="D70" s="2" t="s">
        <v>111</v>
      </c>
      <c r="E70" s="2" t="s">
        <v>14</v>
      </c>
      <c r="F70" s="2" t="s">
        <v>104</v>
      </c>
      <c r="G70" s="2" t="s">
        <v>47</v>
      </c>
      <c r="H70" s="2"/>
      <c r="I70" s="2"/>
      <c r="J70" s="2" t="s">
        <v>23</v>
      </c>
    </row>
    <row r="71" customFormat="false" ht="15" hidden="false" customHeight="false" outlineLevel="0" collapsed="false">
      <c r="A71" s="5" t="s">
        <v>192</v>
      </c>
      <c r="B71" s="5" t="s">
        <v>193</v>
      </c>
      <c r="C71" s="5" t="s">
        <v>12</v>
      </c>
      <c r="D71" s="5" t="s">
        <v>118</v>
      </c>
      <c r="E71" s="5" t="s">
        <v>21</v>
      </c>
      <c r="F71" s="5" t="s">
        <v>15</v>
      </c>
      <c r="G71" s="5" t="s">
        <v>47</v>
      </c>
      <c r="H71" s="6" t="n">
        <v>15</v>
      </c>
      <c r="I71" s="7" t="n">
        <v>519.78</v>
      </c>
      <c r="J71" s="5" t="s">
        <v>34</v>
      </c>
    </row>
    <row r="72" customFormat="false" ht="15" hidden="false" customHeight="false" outlineLevel="0" collapsed="false">
      <c r="A72" s="2" t="s">
        <v>194</v>
      </c>
      <c r="B72" s="2" t="s">
        <v>195</v>
      </c>
      <c r="C72" s="2" t="s">
        <v>50</v>
      </c>
      <c r="D72" s="2" t="s">
        <v>51</v>
      </c>
      <c r="E72" s="2" t="s">
        <v>32</v>
      </c>
      <c r="F72" s="2" t="s">
        <v>37</v>
      </c>
      <c r="G72" s="2" t="s">
        <v>56</v>
      </c>
      <c r="H72" s="2"/>
      <c r="I72" s="2"/>
      <c r="J72" s="2" t="s">
        <v>17</v>
      </c>
    </row>
    <row r="73" customFormat="false" ht="15" hidden="false" customHeight="false" outlineLevel="0" collapsed="false">
      <c r="A73" s="5" t="s">
        <v>196</v>
      </c>
      <c r="B73" s="5" t="s">
        <v>197</v>
      </c>
      <c r="C73" s="5" t="s">
        <v>64</v>
      </c>
      <c r="D73" s="5" t="s">
        <v>125</v>
      </c>
      <c r="E73" s="5" t="s">
        <v>14</v>
      </c>
      <c r="F73" s="5" t="s">
        <v>15</v>
      </c>
      <c r="G73" s="5" t="s">
        <v>61</v>
      </c>
      <c r="H73" s="6" t="n">
        <v>18</v>
      </c>
      <c r="I73" s="7" t="n">
        <v>206.05</v>
      </c>
      <c r="J73" s="5" t="s">
        <v>38</v>
      </c>
    </row>
    <row r="74" customFormat="false" ht="15" hidden="false" customHeight="false" outlineLevel="0" collapsed="false">
      <c r="A74" s="2" t="s">
        <v>198</v>
      </c>
      <c r="B74" s="2" t="s">
        <v>199</v>
      </c>
      <c r="C74" s="2" t="s">
        <v>12</v>
      </c>
      <c r="D74" s="2" t="s">
        <v>13</v>
      </c>
      <c r="E74" s="2" t="s">
        <v>14</v>
      </c>
      <c r="F74" s="2" t="s">
        <v>104</v>
      </c>
      <c r="G74" s="2" t="s">
        <v>16</v>
      </c>
      <c r="H74" s="2"/>
      <c r="I74" s="2"/>
      <c r="J74" s="2" t="s">
        <v>42</v>
      </c>
    </row>
    <row r="75" customFormat="false" ht="15" hidden="false" customHeight="false" outlineLevel="0" collapsed="false">
      <c r="A75" s="5" t="s">
        <v>200</v>
      </c>
      <c r="B75" s="5" t="s">
        <v>201</v>
      </c>
      <c r="C75" s="5" t="s">
        <v>54</v>
      </c>
      <c r="D75" s="5" t="s">
        <v>55</v>
      </c>
      <c r="E75" s="5" t="s">
        <v>21</v>
      </c>
      <c r="F75" s="5" t="s">
        <v>15</v>
      </c>
      <c r="G75" s="5" t="s">
        <v>56</v>
      </c>
      <c r="H75" s="6" t="n">
        <v>7</v>
      </c>
      <c r="I75" s="7" t="n">
        <v>1205.38</v>
      </c>
      <c r="J75" s="5" t="s">
        <v>34</v>
      </c>
    </row>
    <row r="76" customFormat="false" ht="15" hidden="false" customHeight="false" outlineLevel="0" collapsed="false">
      <c r="A76" s="2" t="s">
        <v>202</v>
      </c>
      <c r="B76" s="2" t="s">
        <v>203</v>
      </c>
      <c r="C76" s="2" t="s">
        <v>75</v>
      </c>
      <c r="D76" s="2" t="s">
        <v>79</v>
      </c>
      <c r="E76" s="2" t="s">
        <v>32</v>
      </c>
      <c r="F76" s="2" t="s">
        <v>104</v>
      </c>
      <c r="G76" s="2" t="s">
        <v>56</v>
      </c>
      <c r="H76" s="2"/>
      <c r="I76" s="2"/>
      <c r="J76" s="2" t="s">
        <v>42</v>
      </c>
    </row>
    <row r="77" customFormat="false" ht="15" hidden="false" customHeight="false" outlineLevel="0" collapsed="false">
      <c r="A77" s="5" t="s">
        <v>204</v>
      </c>
      <c r="B77" s="5" t="s">
        <v>205</v>
      </c>
      <c r="C77" s="5" t="s">
        <v>64</v>
      </c>
      <c r="D77" s="5" t="s">
        <v>88</v>
      </c>
      <c r="E77" s="5" t="s">
        <v>21</v>
      </c>
      <c r="F77" s="5" t="s">
        <v>15</v>
      </c>
      <c r="G77" s="5" t="s">
        <v>47</v>
      </c>
      <c r="H77" s="6" t="n">
        <v>19</v>
      </c>
      <c r="I77" s="7" t="n">
        <v>1719.18</v>
      </c>
      <c r="J77" s="5" t="s">
        <v>42</v>
      </c>
    </row>
    <row r="78" customFormat="false" ht="15" hidden="false" customHeight="false" outlineLevel="0" collapsed="false">
      <c r="A78" s="2" t="s">
        <v>206</v>
      </c>
      <c r="B78" s="2" t="s">
        <v>207</v>
      </c>
      <c r="C78" s="2" t="s">
        <v>45</v>
      </c>
      <c r="D78" s="2" t="s">
        <v>46</v>
      </c>
      <c r="E78" s="2" t="s">
        <v>32</v>
      </c>
      <c r="F78" s="2" t="s">
        <v>37</v>
      </c>
      <c r="G78" s="2" t="s">
        <v>22</v>
      </c>
      <c r="H78" s="2"/>
      <c r="I78" s="2"/>
      <c r="J78" s="2" t="s">
        <v>34</v>
      </c>
    </row>
    <row r="79" customFormat="false" ht="15" hidden="false" customHeight="false" outlineLevel="0" collapsed="false">
      <c r="A79" s="5" t="s">
        <v>208</v>
      </c>
      <c r="B79" s="5" t="s">
        <v>209</v>
      </c>
      <c r="C79" s="5" t="s">
        <v>45</v>
      </c>
      <c r="D79" s="5" t="s">
        <v>161</v>
      </c>
      <c r="E79" s="5" t="s">
        <v>14</v>
      </c>
      <c r="F79" s="5" t="s">
        <v>15</v>
      </c>
      <c r="G79" s="5" t="s">
        <v>33</v>
      </c>
      <c r="H79" s="6" t="n">
        <v>12</v>
      </c>
      <c r="I79" s="7" t="n">
        <v>1369.24</v>
      </c>
      <c r="J79" s="5" t="s">
        <v>23</v>
      </c>
    </row>
    <row r="80" customFormat="false" ht="15" hidden="false" customHeight="false" outlineLevel="0" collapsed="false">
      <c r="A80" s="2" t="s">
        <v>210</v>
      </c>
      <c r="B80" s="2" t="s">
        <v>211</v>
      </c>
      <c r="C80" s="2" t="s">
        <v>30</v>
      </c>
      <c r="D80" s="2" t="s">
        <v>212</v>
      </c>
      <c r="E80" s="2" t="s">
        <v>21</v>
      </c>
      <c r="F80" s="2" t="s">
        <v>15</v>
      </c>
      <c r="G80" s="2" t="s">
        <v>22</v>
      </c>
      <c r="H80" s="3" t="n">
        <v>4</v>
      </c>
      <c r="I80" s="4" t="n">
        <v>1129.13</v>
      </c>
      <c r="J80" s="2" t="s">
        <v>17</v>
      </c>
    </row>
    <row r="81" customFormat="false" ht="15" hidden="false" customHeight="false" outlineLevel="0" collapsed="false">
      <c r="A81" s="5" t="s">
        <v>213</v>
      </c>
      <c r="B81" s="5" t="s">
        <v>214</v>
      </c>
      <c r="C81" s="5" t="s">
        <v>75</v>
      </c>
      <c r="D81" s="5" t="s">
        <v>131</v>
      </c>
      <c r="E81" s="5" t="s">
        <v>32</v>
      </c>
      <c r="F81" s="5" t="s">
        <v>37</v>
      </c>
      <c r="G81" s="5" t="s">
        <v>16</v>
      </c>
      <c r="H81" s="5"/>
      <c r="I81" s="5"/>
      <c r="J81" s="5" t="s">
        <v>23</v>
      </c>
    </row>
    <row r="82" customFormat="false" ht="15" hidden="false" customHeight="false" outlineLevel="0" collapsed="false">
      <c r="A82" s="2" t="s">
        <v>215</v>
      </c>
      <c r="B82" s="2" t="s">
        <v>216</v>
      </c>
      <c r="C82" s="2" t="s">
        <v>50</v>
      </c>
      <c r="D82" s="2" t="s">
        <v>51</v>
      </c>
      <c r="E82" s="2" t="s">
        <v>32</v>
      </c>
      <c r="F82" s="2" t="s">
        <v>37</v>
      </c>
      <c r="G82" s="2" t="s">
        <v>56</v>
      </c>
      <c r="H82" s="2"/>
      <c r="I82" s="2"/>
      <c r="J82" s="2" t="s">
        <v>42</v>
      </c>
    </row>
    <row r="83" customFormat="false" ht="15" hidden="false" customHeight="false" outlineLevel="0" collapsed="false">
      <c r="A83" s="5" t="s">
        <v>217</v>
      </c>
      <c r="B83" s="5" t="s">
        <v>218</v>
      </c>
      <c r="C83" s="5" t="s">
        <v>45</v>
      </c>
      <c r="D83" s="5" t="s">
        <v>219</v>
      </c>
      <c r="E83" s="5" t="s">
        <v>32</v>
      </c>
      <c r="F83" s="5" t="s">
        <v>15</v>
      </c>
      <c r="G83" s="5" t="s">
        <v>128</v>
      </c>
      <c r="H83" s="6" t="n">
        <v>15</v>
      </c>
      <c r="I83" s="7" t="n">
        <v>1459.04</v>
      </c>
      <c r="J83" s="5" t="s">
        <v>38</v>
      </c>
    </row>
    <row r="84" customFormat="false" ht="15" hidden="false" customHeight="false" outlineLevel="0" collapsed="false">
      <c r="A84" s="2" t="s">
        <v>220</v>
      </c>
      <c r="B84" s="2" t="s">
        <v>221</v>
      </c>
      <c r="C84" s="2" t="s">
        <v>50</v>
      </c>
      <c r="D84" s="2" t="s">
        <v>51</v>
      </c>
      <c r="E84" s="2" t="s">
        <v>14</v>
      </c>
      <c r="F84" s="2" t="s">
        <v>15</v>
      </c>
      <c r="G84" s="2" t="s">
        <v>128</v>
      </c>
      <c r="H84" s="3" t="n">
        <v>12</v>
      </c>
      <c r="I84" s="4" t="n">
        <v>2010.75</v>
      </c>
      <c r="J84" s="2" t="s">
        <v>23</v>
      </c>
    </row>
    <row r="85" customFormat="false" ht="15" hidden="false" customHeight="false" outlineLevel="0" collapsed="false">
      <c r="A85" s="5" t="s">
        <v>222</v>
      </c>
      <c r="B85" s="5" t="s">
        <v>221</v>
      </c>
      <c r="C85" s="5" t="s">
        <v>64</v>
      </c>
      <c r="D85" s="5" t="s">
        <v>88</v>
      </c>
      <c r="E85" s="5" t="s">
        <v>32</v>
      </c>
      <c r="F85" s="5" t="s">
        <v>15</v>
      </c>
      <c r="G85" s="5" t="s">
        <v>47</v>
      </c>
      <c r="H85" s="6" t="n">
        <v>3</v>
      </c>
      <c r="I85" s="7" t="n">
        <v>664.08</v>
      </c>
      <c r="J85" s="5" t="s">
        <v>23</v>
      </c>
    </row>
    <row r="86" customFormat="false" ht="15" hidden="false" customHeight="false" outlineLevel="0" collapsed="false">
      <c r="A86" s="2" t="s">
        <v>223</v>
      </c>
      <c r="B86" s="2" t="s">
        <v>224</v>
      </c>
      <c r="C86" s="2" t="s">
        <v>54</v>
      </c>
      <c r="D86" s="2" t="s">
        <v>91</v>
      </c>
      <c r="E86" s="2" t="s">
        <v>14</v>
      </c>
      <c r="F86" s="2" t="s">
        <v>15</v>
      </c>
      <c r="G86" s="2" t="s">
        <v>128</v>
      </c>
      <c r="H86" s="3" t="n">
        <v>15</v>
      </c>
      <c r="I86" s="4" t="n">
        <v>1998.9</v>
      </c>
      <c r="J86" s="2" t="s">
        <v>42</v>
      </c>
    </row>
    <row r="87" customFormat="false" ht="15" hidden="false" customHeight="false" outlineLevel="0" collapsed="false">
      <c r="A87" s="5" t="s">
        <v>225</v>
      </c>
      <c r="B87" s="5" t="s">
        <v>226</v>
      </c>
      <c r="C87" s="5" t="s">
        <v>26</v>
      </c>
      <c r="D87" s="5" t="s">
        <v>41</v>
      </c>
      <c r="E87" s="5" t="s">
        <v>14</v>
      </c>
      <c r="F87" s="5" t="s">
        <v>15</v>
      </c>
      <c r="G87" s="5" t="s">
        <v>47</v>
      </c>
      <c r="H87" s="6" t="n">
        <v>12</v>
      </c>
      <c r="I87" s="7" t="n">
        <v>1225.29</v>
      </c>
      <c r="J87" s="5" t="s">
        <v>23</v>
      </c>
    </row>
    <row r="88" customFormat="false" ht="15" hidden="false" customHeight="false" outlineLevel="0" collapsed="false">
      <c r="A88" s="2" t="s">
        <v>227</v>
      </c>
      <c r="B88" s="2" t="s">
        <v>228</v>
      </c>
      <c r="C88" s="2" t="s">
        <v>30</v>
      </c>
      <c r="D88" s="2" t="s">
        <v>60</v>
      </c>
      <c r="E88" s="2" t="s">
        <v>32</v>
      </c>
      <c r="F88" s="2" t="s">
        <v>15</v>
      </c>
      <c r="G88" s="2" t="s">
        <v>128</v>
      </c>
      <c r="H88" s="3" t="n">
        <v>9</v>
      </c>
      <c r="I88" s="4" t="n">
        <v>637.9</v>
      </c>
      <c r="J88" s="2" t="s">
        <v>38</v>
      </c>
    </row>
    <row r="89" customFormat="false" ht="15" hidden="false" customHeight="false" outlineLevel="0" collapsed="false">
      <c r="A89" s="5" t="s">
        <v>229</v>
      </c>
      <c r="B89" s="5" t="s">
        <v>216</v>
      </c>
      <c r="C89" s="5" t="s">
        <v>75</v>
      </c>
      <c r="D89" s="5" t="s">
        <v>131</v>
      </c>
      <c r="E89" s="5" t="s">
        <v>21</v>
      </c>
      <c r="F89" s="5" t="s">
        <v>37</v>
      </c>
      <c r="G89" s="5" t="s">
        <v>33</v>
      </c>
      <c r="H89" s="5"/>
      <c r="I89" s="5"/>
      <c r="J89" s="5" t="s">
        <v>42</v>
      </c>
    </row>
    <row r="90" customFormat="false" ht="15" hidden="false" customHeight="false" outlineLevel="0" collapsed="false">
      <c r="A90" s="2" t="s">
        <v>230</v>
      </c>
      <c r="B90" s="2" t="s">
        <v>231</v>
      </c>
      <c r="C90" s="2" t="s">
        <v>64</v>
      </c>
      <c r="D90" s="2" t="s">
        <v>73</v>
      </c>
      <c r="E90" s="2" t="s">
        <v>32</v>
      </c>
      <c r="F90" s="2" t="s">
        <v>15</v>
      </c>
      <c r="G90" s="2" t="s">
        <v>33</v>
      </c>
      <c r="H90" s="3" t="n">
        <v>18</v>
      </c>
      <c r="I90" s="4" t="n">
        <v>386.33</v>
      </c>
      <c r="J90" s="2" t="s">
        <v>23</v>
      </c>
    </row>
    <row r="91" customFormat="false" ht="15" hidden="false" customHeight="false" outlineLevel="0" collapsed="false">
      <c r="A91" s="5" t="s">
        <v>232</v>
      </c>
      <c r="B91" s="5" t="s">
        <v>233</v>
      </c>
      <c r="C91" s="5" t="s">
        <v>64</v>
      </c>
      <c r="D91" s="5" t="s">
        <v>73</v>
      </c>
      <c r="E91" s="5" t="s">
        <v>14</v>
      </c>
      <c r="F91" s="5" t="s">
        <v>15</v>
      </c>
      <c r="G91" s="5" t="s">
        <v>16</v>
      </c>
      <c r="H91" s="6" t="n">
        <v>16</v>
      </c>
      <c r="I91" s="7" t="n">
        <v>328.26</v>
      </c>
      <c r="J91" s="5" t="s">
        <v>34</v>
      </c>
    </row>
    <row r="92" customFormat="false" ht="15" hidden="false" customHeight="false" outlineLevel="0" collapsed="false">
      <c r="A92" s="2" t="s">
        <v>234</v>
      </c>
      <c r="B92" s="2" t="s">
        <v>235</v>
      </c>
      <c r="C92" s="2" t="s">
        <v>50</v>
      </c>
      <c r="D92" s="2" t="s">
        <v>236</v>
      </c>
      <c r="E92" s="2" t="s">
        <v>32</v>
      </c>
      <c r="F92" s="2" t="s">
        <v>15</v>
      </c>
      <c r="G92" s="2" t="s">
        <v>33</v>
      </c>
      <c r="H92" s="3" t="n">
        <v>9</v>
      </c>
      <c r="I92" s="4" t="n">
        <v>2357.37</v>
      </c>
      <c r="J92" s="2" t="s">
        <v>38</v>
      </c>
    </row>
    <row r="93" customFormat="false" ht="15" hidden="false" customHeight="false" outlineLevel="0" collapsed="false">
      <c r="A93" s="5" t="s">
        <v>237</v>
      </c>
      <c r="B93" s="5" t="s">
        <v>238</v>
      </c>
      <c r="C93" s="5" t="s">
        <v>26</v>
      </c>
      <c r="D93" s="5" t="s">
        <v>41</v>
      </c>
      <c r="E93" s="5" t="s">
        <v>32</v>
      </c>
      <c r="F93" s="5" t="s">
        <v>15</v>
      </c>
      <c r="G93" s="5" t="s">
        <v>33</v>
      </c>
      <c r="H93" s="6" t="n">
        <v>2</v>
      </c>
      <c r="I93" s="7" t="n">
        <v>447.18</v>
      </c>
      <c r="J93" s="5" t="s">
        <v>42</v>
      </c>
    </row>
    <row r="94" customFormat="false" ht="15" hidden="false" customHeight="false" outlineLevel="0" collapsed="false">
      <c r="A94" s="2" t="s">
        <v>239</v>
      </c>
      <c r="B94" s="2" t="s">
        <v>240</v>
      </c>
      <c r="C94" s="2" t="s">
        <v>45</v>
      </c>
      <c r="D94" s="2" t="s">
        <v>219</v>
      </c>
      <c r="E94" s="2" t="s">
        <v>32</v>
      </c>
      <c r="F94" s="2" t="s">
        <v>15</v>
      </c>
      <c r="G94" s="2" t="s">
        <v>47</v>
      </c>
      <c r="H94" s="3" t="n">
        <v>20</v>
      </c>
      <c r="I94" s="4" t="n">
        <v>626.16</v>
      </c>
      <c r="J94" s="2" t="s">
        <v>17</v>
      </c>
    </row>
    <row r="95" customFormat="false" ht="15" hidden="false" customHeight="false" outlineLevel="0" collapsed="false">
      <c r="A95" s="5" t="s">
        <v>241</v>
      </c>
      <c r="B95" s="5" t="s">
        <v>228</v>
      </c>
      <c r="C95" s="5" t="s">
        <v>64</v>
      </c>
      <c r="D95" s="5" t="s">
        <v>73</v>
      </c>
      <c r="E95" s="5" t="s">
        <v>14</v>
      </c>
      <c r="F95" s="5" t="s">
        <v>104</v>
      </c>
      <c r="G95" s="5" t="s">
        <v>16</v>
      </c>
      <c r="H95" s="5"/>
      <c r="I95" s="5"/>
      <c r="J95" s="5" t="s">
        <v>38</v>
      </c>
    </row>
    <row r="96" customFormat="false" ht="15" hidden="false" customHeight="false" outlineLevel="0" collapsed="false">
      <c r="A96" s="2" t="s">
        <v>242</v>
      </c>
      <c r="B96" s="2" t="s">
        <v>243</v>
      </c>
      <c r="C96" s="2" t="s">
        <v>54</v>
      </c>
      <c r="D96" s="2" t="s">
        <v>148</v>
      </c>
      <c r="E96" s="2" t="s">
        <v>32</v>
      </c>
      <c r="F96" s="2" t="s">
        <v>15</v>
      </c>
      <c r="G96" s="2" t="s">
        <v>33</v>
      </c>
      <c r="H96" s="3" t="n">
        <v>6</v>
      </c>
      <c r="I96" s="4" t="n">
        <v>1415.82</v>
      </c>
      <c r="J96" s="2" t="s">
        <v>17</v>
      </c>
    </row>
    <row r="97" customFormat="false" ht="15" hidden="false" customHeight="false" outlineLevel="0" collapsed="false">
      <c r="A97" s="5" t="s">
        <v>244</v>
      </c>
      <c r="B97" s="5" t="s">
        <v>245</v>
      </c>
      <c r="C97" s="5" t="s">
        <v>50</v>
      </c>
      <c r="D97" s="5" t="s">
        <v>51</v>
      </c>
      <c r="E97" s="5" t="s">
        <v>14</v>
      </c>
      <c r="F97" s="5" t="s">
        <v>15</v>
      </c>
      <c r="G97" s="5" t="s">
        <v>22</v>
      </c>
      <c r="H97" s="6" t="n">
        <v>8</v>
      </c>
      <c r="I97" s="7" t="n">
        <v>777.21</v>
      </c>
      <c r="J97" s="5" t="s">
        <v>17</v>
      </c>
    </row>
    <row r="98" customFormat="false" ht="15" hidden="false" customHeight="false" outlineLevel="0" collapsed="false">
      <c r="A98" s="2" t="s">
        <v>246</v>
      </c>
      <c r="B98" s="2" t="s">
        <v>247</v>
      </c>
      <c r="C98" s="2" t="s">
        <v>45</v>
      </c>
      <c r="D98" s="2" t="s">
        <v>68</v>
      </c>
      <c r="E98" s="2" t="s">
        <v>14</v>
      </c>
      <c r="F98" s="2" t="s">
        <v>104</v>
      </c>
      <c r="G98" s="2" t="s">
        <v>47</v>
      </c>
      <c r="H98" s="2"/>
      <c r="I98" s="2"/>
      <c r="J98" s="2" t="s">
        <v>38</v>
      </c>
    </row>
    <row r="99" customFormat="false" ht="15" hidden="false" customHeight="false" outlineLevel="0" collapsed="false">
      <c r="A99" s="5" t="s">
        <v>248</v>
      </c>
      <c r="B99" s="5" t="s">
        <v>249</v>
      </c>
      <c r="C99" s="5" t="s">
        <v>54</v>
      </c>
      <c r="D99" s="5" t="s">
        <v>148</v>
      </c>
      <c r="E99" s="5" t="s">
        <v>32</v>
      </c>
      <c r="F99" s="5" t="s">
        <v>104</v>
      </c>
      <c r="G99" s="5" t="s">
        <v>33</v>
      </c>
      <c r="H99" s="5"/>
      <c r="I99" s="5"/>
      <c r="J99" s="5" t="s">
        <v>38</v>
      </c>
    </row>
    <row r="100" customFormat="false" ht="15" hidden="false" customHeight="false" outlineLevel="0" collapsed="false">
      <c r="A100" s="2" t="s">
        <v>250</v>
      </c>
      <c r="B100" s="2" t="s">
        <v>249</v>
      </c>
      <c r="C100" s="2" t="s">
        <v>75</v>
      </c>
      <c r="D100" s="2" t="s">
        <v>143</v>
      </c>
      <c r="E100" s="2" t="s">
        <v>14</v>
      </c>
      <c r="F100" s="2" t="s">
        <v>15</v>
      </c>
      <c r="G100" s="2" t="s">
        <v>33</v>
      </c>
      <c r="H100" s="3" t="n">
        <v>19</v>
      </c>
      <c r="I100" s="4" t="n">
        <v>2309.29</v>
      </c>
      <c r="J100" s="2" t="s">
        <v>17</v>
      </c>
    </row>
    <row r="101" customFormat="false" ht="15" hidden="false" customHeight="false" outlineLevel="0" collapsed="false">
      <c r="A101" s="5" t="s">
        <v>251</v>
      </c>
      <c r="B101" s="5" t="s">
        <v>252</v>
      </c>
      <c r="C101" s="5" t="s">
        <v>64</v>
      </c>
      <c r="D101" s="5" t="s">
        <v>88</v>
      </c>
      <c r="E101" s="5" t="s">
        <v>14</v>
      </c>
      <c r="F101" s="5" t="s">
        <v>104</v>
      </c>
      <c r="G101" s="5" t="s">
        <v>47</v>
      </c>
      <c r="H101" s="5"/>
      <c r="I101" s="5"/>
      <c r="J101" s="5" t="s">
        <v>38</v>
      </c>
    </row>
    <row r="102" customFormat="false" ht="15" hidden="false" customHeight="false" outlineLevel="0" collapsed="false">
      <c r="A102" s="2" t="s">
        <v>253</v>
      </c>
      <c r="B102" s="2" t="s">
        <v>254</v>
      </c>
      <c r="C102" s="2" t="s">
        <v>12</v>
      </c>
      <c r="D102" s="2" t="s">
        <v>118</v>
      </c>
      <c r="E102" s="2" t="s">
        <v>14</v>
      </c>
      <c r="F102" s="2" t="s">
        <v>37</v>
      </c>
      <c r="G102" s="2" t="s">
        <v>33</v>
      </c>
      <c r="H102" s="2"/>
      <c r="I102" s="2"/>
      <c r="J102" s="2" t="s">
        <v>38</v>
      </c>
    </row>
    <row r="103" customFormat="false" ht="15" hidden="false" customHeight="false" outlineLevel="0" collapsed="false">
      <c r="A103" s="5" t="s">
        <v>255</v>
      </c>
      <c r="B103" s="5" t="s">
        <v>256</v>
      </c>
      <c r="C103" s="5" t="s">
        <v>54</v>
      </c>
      <c r="D103" s="5" t="s">
        <v>91</v>
      </c>
      <c r="E103" s="5" t="s">
        <v>14</v>
      </c>
      <c r="F103" s="5" t="s">
        <v>37</v>
      </c>
      <c r="G103" s="5" t="s">
        <v>56</v>
      </c>
      <c r="H103" s="5"/>
      <c r="I103" s="5"/>
      <c r="J103" s="5" t="s">
        <v>34</v>
      </c>
    </row>
    <row r="104" customFormat="false" ht="15" hidden="false" customHeight="false" outlineLevel="0" collapsed="false">
      <c r="A104" s="2" t="s">
        <v>257</v>
      </c>
      <c r="B104" s="2" t="s">
        <v>252</v>
      </c>
      <c r="C104" s="2" t="s">
        <v>12</v>
      </c>
      <c r="D104" s="2" t="s">
        <v>118</v>
      </c>
      <c r="E104" s="2" t="s">
        <v>14</v>
      </c>
      <c r="F104" s="2" t="s">
        <v>15</v>
      </c>
      <c r="G104" s="2" t="s">
        <v>61</v>
      </c>
      <c r="H104" s="3" t="n">
        <v>21</v>
      </c>
      <c r="I104" s="4" t="n">
        <v>1150.2</v>
      </c>
      <c r="J104" s="2" t="s">
        <v>23</v>
      </c>
    </row>
    <row r="105" customFormat="false" ht="15" hidden="false" customHeight="false" outlineLevel="0" collapsed="false">
      <c r="A105" s="5" t="s">
        <v>258</v>
      </c>
      <c r="B105" s="5" t="s">
        <v>259</v>
      </c>
      <c r="C105" s="5" t="s">
        <v>26</v>
      </c>
      <c r="D105" s="5" t="s">
        <v>41</v>
      </c>
      <c r="E105" s="5" t="s">
        <v>32</v>
      </c>
      <c r="F105" s="5" t="s">
        <v>15</v>
      </c>
      <c r="G105" s="5" t="s">
        <v>128</v>
      </c>
      <c r="H105" s="6" t="n">
        <v>16</v>
      </c>
      <c r="I105" s="7" t="n">
        <v>922.07</v>
      </c>
      <c r="J105" s="5" t="s">
        <v>38</v>
      </c>
    </row>
    <row r="106" customFormat="false" ht="15" hidden="false" customHeight="false" outlineLevel="0" collapsed="false">
      <c r="A106" s="2" t="s">
        <v>260</v>
      </c>
      <c r="B106" s="2" t="s">
        <v>261</v>
      </c>
      <c r="C106" s="2" t="s">
        <v>30</v>
      </c>
      <c r="D106" s="2" t="s">
        <v>185</v>
      </c>
      <c r="E106" s="2" t="s">
        <v>32</v>
      </c>
      <c r="F106" s="2" t="s">
        <v>15</v>
      </c>
      <c r="G106" s="2" t="s">
        <v>47</v>
      </c>
      <c r="H106" s="3" t="n">
        <v>13</v>
      </c>
      <c r="I106" s="4" t="n">
        <v>2048.83</v>
      </c>
      <c r="J106" s="2" t="s">
        <v>38</v>
      </c>
    </row>
    <row r="107" customFormat="false" ht="15" hidden="false" customHeight="false" outlineLevel="0" collapsed="false">
      <c r="A107" s="5" t="s">
        <v>262</v>
      </c>
      <c r="B107" s="5" t="s">
        <v>263</v>
      </c>
      <c r="C107" s="5" t="s">
        <v>30</v>
      </c>
      <c r="D107" s="5" t="s">
        <v>185</v>
      </c>
      <c r="E107" s="5" t="s">
        <v>32</v>
      </c>
      <c r="F107" s="5" t="s">
        <v>15</v>
      </c>
      <c r="G107" s="5" t="s">
        <v>22</v>
      </c>
      <c r="H107" s="6" t="n">
        <v>13</v>
      </c>
      <c r="I107" s="7" t="n">
        <v>2173.08</v>
      </c>
      <c r="J107" s="5" t="s">
        <v>23</v>
      </c>
    </row>
    <row r="108" customFormat="false" ht="15" hidden="false" customHeight="false" outlineLevel="0" collapsed="false">
      <c r="A108" s="2" t="s">
        <v>264</v>
      </c>
      <c r="B108" s="2" t="s">
        <v>265</v>
      </c>
      <c r="C108" s="2" t="s">
        <v>50</v>
      </c>
      <c r="D108" s="2" t="s">
        <v>236</v>
      </c>
      <c r="E108" s="2" t="s">
        <v>32</v>
      </c>
      <c r="F108" s="2" t="s">
        <v>15</v>
      </c>
      <c r="G108" s="2" t="s">
        <v>56</v>
      </c>
      <c r="H108" s="3" t="n">
        <v>20</v>
      </c>
      <c r="I108" s="4" t="n">
        <v>1910.59</v>
      </c>
      <c r="J108" s="2" t="s">
        <v>38</v>
      </c>
    </row>
    <row r="109" customFormat="false" ht="15" hidden="false" customHeight="false" outlineLevel="0" collapsed="false">
      <c r="A109" s="5" t="s">
        <v>266</v>
      </c>
      <c r="B109" s="5" t="s">
        <v>267</v>
      </c>
      <c r="C109" s="5" t="s">
        <v>54</v>
      </c>
      <c r="D109" s="5" t="s">
        <v>96</v>
      </c>
      <c r="E109" s="5" t="s">
        <v>32</v>
      </c>
      <c r="F109" s="5" t="s">
        <v>15</v>
      </c>
      <c r="G109" s="5" t="s">
        <v>33</v>
      </c>
      <c r="H109" s="6" t="n">
        <v>15</v>
      </c>
      <c r="I109" s="7" t="n">
        <v>2211.65</v>
      </c>
      <c r="J109" s="5" t="s">
        <v>38</v>
      </c>
    </row>
    <row r="110" customFormat="false" ht="15" hidden="false" customHeight="false" outlineLevel="0" collapsed="false">
      <c r="A110" s="2" t="s">
        <v>268</v>
      </c>
      <c r="B110" s="2" t="s">
        <v>269</v>
      </c>
      <c r="C110" s="2" t="s">
        <v>54</v>
      </c>
      <c r="D110" s="2" t="s">
        <v>148</v>
      </c>
      <c r="E110" s="2" t="s">
        <v>14</v>
      </c>
      <c r="F110" s="2" t="s">
        <v>15</v>
      </c>
      <c r="G110" s="2" t="s">
        <v>56</v>
      </c>
      <c r="H110" s="3" t="n">
        <v>18</v>
      </c>
      <c r="I110" s="4" t="n">
        <v>1067.34</v>
      </c>
      <c r="J110" s="2" t="s">
        <v>38</v>
      </c>
    </row>
    <row r="111" customFormat="false" ht="15" hidden="false" customHeight="false" outlineLevel="0" collapsed="false">
      <c r="A111" s="5" t="s">
        <v>270</v>
      </c>
      <c r="B111" s="5" t="s">
        <v>271</v>
      </c>
      <c r="C111" s="5" t="s">
        <v>50</v>
      </c>
      <c r="D111" s="5" t="s">
        <v>51</v>
      </c>
      <c r="E111" s="5" t="s">
        <v>14</v>
      </c>
      <c r="F111" s="5" t="s">
        <v>15</v>
      </c>
      <c r="G111" s="5" t="s">
        <v>16</v>
      </c>
      <c r="H111" s="6" t="n">
        <v>16</v>
      </c>
      <c r="I111" s="7" t="n">
        <v>2337.02</v>
      </c>
      <c r="J111" s="5" t="s">
        <v>34</v>
      </c>
    </row>
    <row r="112" customFormat="false" ht="15" hidden="false" customHeight="false" outlineLevel="0" collapsed="false">
      <c r="A112" s="2" t="s">
        <v>272</v>
      </c>
      <c r="B112" s="2" t="s">
        <v>273</v>
      </c>
      <c r="C112" s="2" t="s">
        <v>26</v>
      </c>
      <c r="D112" s="2" t="s">
        <v>98</v>
      </c>
      <c r="E112" s="2" t="s">
        <v>14</v>
      </c>
      <c r="F112" s="2" t="s">
        <v>104</v>
      </c>
      <c r="G112" s="2" t="s">
        <v>16</v>
      </c>
      <c r="H112" s="2"/>
      <c r="I112" s="2"/>
      <c r="J112" s="2" t="s">
        <v>42</v>
      </c>
    </row>
    <row r="113" customFormat="false" ht="15" hidden="false" customHeight="false" outlineLevel="0" collapsed="false">
      <c r="A113" s="5" t="s">
        <v>274</v>
      </c>
      <c r="B113" s="5" t="s">
        <v>275</v>
      </c>
      <c r="C113" s="5" t="s">
        <v>26</v>
      </c>
      <c r="D113" s="5" t="s">
        <v>41</v>
      </c>
      <c r="E113" s="5" t="s">
        <v>21</v>
      </c>
      <c r="F113" s="5" t="s">
        <v>15</v>
      </c>
      <c r="G113" s="5" t="s">
        <v>56</v>
      </c>
      <c r="H113" s="6" t="n">
        <v>5</v>
      </c>
      <c r="I113" s="7" t="n">
        <v>2170.95</v>
      </c>
      <c r="J113" s="5" t="s">
        <v>17</v>
      </c>
    </row>
    <row r="114" customFormat="false" ht="15" hidden="false" customHeight="false" outlineLevel="0" collapsed="false">
      <c r="A114" s="2" t="s">
        <v>276</v>
      </c>
      <c r="B114" s="2" t="s">
        <v>277</v>
      </c>
      <c r="C114" s="2" t="s">
        <v>30</v>
      </c>
      <c r="D114" s="2" t="s">
        <v>212</v>
      </c>
      <c r="E114" s="2" t="s">
        <v>14</v>
      </c>
      <c r="F114" s="2" t="s">
        <v>15</v>
      </c>
      <c r="G114" s="2" t="s">
        <v>56</v>
      </c>
      <c r="H114" s="3" t="n">
        <v>1</v>
      </c>
      <c r="I114" s="4" t="n">
        <v>764.47</v>
      </c>
      <c r="J114" s="2" t="s">
        <v>23</v>
      </c>
    </row>
    <row r="115" customFormat="false" ht="15" hidden="false" customHeight="false" outlineLevel="0" collapsed="false">
      <c r="A115" s="5" t="s">
        <v>278</v>
      </c>
      <c r="B115" s="5" t="s">
        <v>279</v>
      </c>
      <c r="C115" s="5" t="s">
        <v>75</v>
      </c>
      <c r="D115" s="5" t="s">
        <v>143</v>
      </c>
      <c r="E115" s="5" t="s">
        <v>32</v>
      </c>
      <c r="F115" s="5" t="s">
        <v>15</v>
      </c>
      <c r="G115" s="5" t="s">
        <v>47</v>
      </c>
      <c r="H115" s="6" t="n">
        <v>18</v>
      </c>
      <c r="I115" s="7" t="n">
        <v>1926.15</v>
      </c>
      <c r="J115" s="5" t="s">
        <v>34</v>
      </c>
    </row>
    <row r="116" customFormat="false" ht="15" hidden="false" customHeight="false" outlineLevel="0" collapsed="false">
      <c r="A116" s="2" t="s">
        <v>280</v>
      </c>
      <c r="B116" s="2" t="s">
        <v>281</v>
      </c>
      <c r="C116" s="2" t="s">
        <v>54</v>
      </c>
      <c r="D116" s="2" t="s">
        <v>96</v>
      </c>
      <c r="E116" s="2" t="s">
        <v>14</v>
      </c>
      <c r="F116" s="2" t="s">
        <v>15</v>
      </c>
      <c r="G116" s="2" t="s">
        <v>33</v>
      </c>
      <c r="H116" s="3" t="n">
        <v>8</v>
      </c>
      <c r="I116" s="4" t="n">
        <v>2151.55</v>
      </c>
      <c r="J116" s="2" t="s">
        <v>34</v>
      </c>
    </row>
    <row r="117" customFormat="false" ht="15" hidden="false" customHeight="false" outlineLevel="0" collapsed="false">
      <c r="A117" s="5" t="s">
        <v>282</v>
      </c>
      <c r="B117" s="5" t="s">
        <v>281</v>
      </c>
      <c r="C117" s="5" t="s">
        <v>50</v>
      </c>
      <c r="D117" s="5" t="s">
        <v>283</v>
      </c>
      <c r="E117" s="5" t="s">
        <v>14</v>
      </c>
      <c r="F117" s="5" t="s">
        <v>37</v>
      </c>
      <c r="G117" s="5" t="s">
        <v>47</v>
      </c>
      <c r="H117" s="5"/>
      <c r="I117" s="5"/>
      <c r="J117" s="5" t="s">
        <v>38</v>
      </c>
    </row>
    <row r="118" customFormat="false" ht="15" hidden="false" customHeight="false" outlineLevel="0" collapsed="false">
      <c r="A118" s="2" t="s">
        <v>284</v>
      </c>
      <c r="B118" s="2" t="s">
        <v>285</v>
      </c>
      <c r="C118" s="2" t="s">
        <v>75</v>
      </c>
      <c r="D118" s="2" t="s">
        <v>143</v>
      </c>
      <c r="E118" s="2" t="s">
        <v>32</v>
      </c>
      <c r="F118" s="2" t="s">
        <v>15</v>
      </c>
      <c r="G118" s="2" t="s">
        <v>33</v>
      </c>
      <c r="H118" s="3" t="n">
        <v>4</v>
      </c>
      <c r="I118" s="4" t="n">
        <v>2195.54</v>
      </c>
      <c r="J118" s="2" t="s">
        <v>23</v>
      </c>
    </row>
    <row r="119" customFormat="false" ht="15" hidden="false" customHeight="false" outlineLevel="0" collapsed="false">
      <c r="A119" s="5" t="s">
        <v>286</v>
      </c>
      <c r="B119" s="5" t="s">
        <v>285</v>
      </c>
      <c r="C119" s="5" t="s">
        <v>50</v>
      </c>
      <c r="D119" s="5" t="s">
        <v>111</v>
      </c>
      <c r="E119" s="5" t="s">
        <v>21</v>
      </c>
      <c r="F119" s="5" t="s">
        <v>15</v>
      </c>
      <c r="G119" s="5" t="s">
        <v>47</v>
      </c>
      <c r="H119" s="6" t="n">
        <v>21</v>
      </c>
      <c r="I119" s="7" t="n">
        <v>2427.3</v>
      </c>
      <c r="J119" s="5" t="s">
        <v>34</v>
      </c>
    </row>
    <row r="120" customFormat="false" ht="15" hidden="false" customHeight="false" outlineLevel="0" collapsed="false">
      <c r="A120" s="2" t="s">
        <v>287</v>
      </c>
      <c r="B120" s="2" t="s">
        <v>288</v>
      </c>
      <c r="C120" s="2" t="s">
        <v>30</v>
      </c>
      <c r="D120" s="2" t="s">
        <v>31</v>
      </c>
      <c r="E120" s="2" t="s">
        <v>32</v>
      </c>
      <c r="F120" s="2" t="s">
        <v>15</v>
      </c>
      <c r="G120" s="2" t="s">
        <v>128</v>
      </c>
      <c r="H120" s="3" t="n">
        <v>11</v>
      </c>
      <c r="I120" s="4" t="n">
        <v>2142.67</v>
      </c>
      <c r="J120" s="2" t="s">
        <v>17</v>
      </c>
    </row>
    <row r="121" customFormat="false" ht="15" hidden="false" customHeight="false" outlineLevel="0" collapsed="false">
      <c r="A121" s="5" t="s">
        <v>289</v>
      </c>
      <c r="B121" s="5" t="s">
        <v>290</v>
      </c>
      <c r="C121" s="5" t="s">
        <v>12</v>
      </c>
      <c r="D121" s="5" t="s">
        <v>13</v>
      </c>
      <c r="E121" s="5" t="s">
        <v>32</v>
      </c>
      <c r="F121" s="5" t="s">
        <v>15</v>
      </c>
      <c r="G121" s="5" t="s">
        <v>47</v>
      </c>
      <c r="H121" s="6" t="n">
        <v>10</v>
      </c>
      <c r="I121" s="7" t="n">
        <v>2493.77</v>
      </c>
      <c r="J121" s="5" t="s">
        <v>38</v>
      </c>
    </row>
    <row r="122" customFormat="false" ht="15" hidden="false" customHeight="false" outlineLevel="0" collapsed="false">
      <c r="A122" s="2" t="s">
        <v>291</v>
      </c>
      <c r="B122" s="2" t="s">
        <v>292</v>
      </c>
      <c r="C122" s="2" t="s">
        <v>45</v>
      </c>
      <c r="D122" s="2" t="s">
        <v>46</v>
      </c>
      <c r="E122" s="2" t="s">
        <v>32</v>
      </c>
      <c r="F122" s="2" t="s">
        <v>15</v>
      </c>
      <c r="G122" s="2" t="s">
        <v>128</v>
      </c>
      <c r="H122" s="3" t="n">
        <v>2</v>
      </c>
      <c r="I122" s="4" t="n">
        <v>864.99</v>
      </c>
      <c r="J122" s="2" t="s">
        <v>34</v>
      </c>
    </row>
    <row r="123" customFormat="false" ht="15" hidden="false" customHeight="false" outlineLevel="0" collapsed="false">
      <c r="A123" s="5" t="s">
        <v>293</v>
      </c>
      <c r="B123" s="5" t="s">
        <v>294</v>
      </c>
      <c r="C123" s="5" t="s">
        <v>30</v>
      </c>
      <c r="D123" s="5" t="s">
        <v>60</v>
      </c>
      <c r="E123" s="5" t="s">
        <v>32</v>
      </c>
      <c r="F123" s="5" t="s">
        <v>15</v>
      </c>
      <c r="G123" s="5" t="s">
        <v>61</v>
      </c>
      <c r="H123" s="6" t="n">
        <v>19</v>
      </c>
      <c r="I123" s="7" t="n">
        <v>1729.96</v>
      </c>
      <c r="J123" s="5" t="s">
        <v>42</v>
      </c>
    </row>
    <row r="124" customFormat="false" ht="15" hidden="false" customHeight="false" outlineLevel="0" collapsed="false">
      <c r="A124" s="2" t="s">
        <v>295</v>
      </c>
      <c r="B124" s="2" t="s">
        <v>290</v>
      </c>
      <c r="C124" s="2" t="s">
        <v>45</v>
      </c>
      <c r="D124" s="2" t="s">
        <v>68</v>
      </c>
      <c r="E124" s="2" t="s">
        <v>32</v>
      </c>
      <c r="F124" s="2" t="s">
        <v>15</v>
      </c>
      <c r="G124" s="2" t="s">
        <v>61</v>
      </c>
      <c r="H124" s="3" t="n">
        <v>8</v>
      </c>
      <c r="I124" s="4" t="n">
        <v>1284.35</v>
      </c>
      <c r="J124" s="2" t="s">
        <v>17</v>
      </c>
    </row>
    <row r="125" customFormat="false" ht="15" hidden="false" customHeight="false" outlineLevel="0" collapsed="false">
      <c r="A125" s="5" t="s">
        <v>296</v>
      </c>
      <c r="B125" s="5" t="s">
        <v>297</v>
      </c>
      <c r="C125" s="5" t="s">
        <v>64</v>
      </c>
      <c r="D125" s="5" t="s">
        <v>65</v>
      </c>
      <c r="E125" s="5" t="s">
        <v>32</v>
      </c>
      <c r="F125" s="5" t="s">
        <v>15</v>
      </c>
      <c r="G125" s="5" t="s">
        <v>33</v>
      </c>
      <c r="H125" s="6" t="n">
        <v>15</v>
      </c>
      <c r="I125" s="7" t="n">
        <v>2260.93</v>
      </c>
      <c r="J125" s="5" t="s">
        <v>17</v>
      </c>
    </row>
    <row r="126" customFormat="false" ht="15" hidden="false" customHeight="false" outlineLevel="0" collapsed="false">
      <c r="A126" s="2" t="s">
        <v>298</v>
      </c>
      <c r="B126" s="2" t="s">
        <v>294</v>
      </c>
      <c r="C126" s="2" t="s">
        <v>30</v>
      </c>
      <c r="D126" s="2" t="s">
        <v>212</v>
      </c>
      <c r="E126" s="2" t="s">
        <v>14</v>
      </c>
      <c r="F126" s="2" t="s">
        <v>15</v>
      </c>
      <c r="G126" s="2" t="s">
        <v>61</v>
      </c>
      <c r="H126" s="3" t="n">
        <v>9</v>
      </c>
      <c r="I126" s="4" t="n">
        <v>1185.54</v>
      </c>
      <c r="J126" s="2" t="s">
        <v>17</v>
      </c>
    </row>
    <row r="127" customFormat="false" ht="15" hidden="false" customHeight="false" outlineLevel="0" collapsed="false">
      <c r="A127" s="5" t="s">
        <v>299</v>
      </c>
      <c r="B127" s="5" t="s">
        <v>300</v>
      </c>
      <c r="C127" s="5" t="s">
        <v>50</v>
      </c>
      <c r="D127" s="5" t="s">
        <v>51</v>
      </c>
      <c r="E127" s="5" t="s">
        <v>21</v>
      </c>
      <c r="F127" s="5" t="s">
        <v>15</v>
      </c>
      <c r="G127" s="5" t="s">
        <v>33</v>
      </c>
      <c r="H127" s="6" t="n">
        <v>19</v>
      </c>
      <c r="I127" s="7" t="n">
        <v>796.01</v>
      </c>
      <c r="J127" s="5" t="s">
        <v>17</v>
      </c>
    </row>
    <row r="128" customFormat="false" ht="15" hidden="false" customHeight="false" outlineLevel="0" collapsed="false">
      <c r="A128" s="2" t="s">
        <v>301</v>
      </c>
      <c r="B128" s="2" t="s">
        <v>302</v>
      </c>
      <c r="C128" s="2" t="s">
        <v>64</v>
      </c>
      <c r="D128" s="2" t="s">
        <v>73</v>
      </c>
      <c r="E128" s="2" t="s">
        <v>21</v>
      </c>
      <c r="F128" s="2" t="s">
        <v>37</v>
      </c>
      <c r="G128" s="2" t="s">
        <v>16</v>
      </c>
      <c r="H128" s="2"/>
      <c r="I128" s="2"/>
      <c r="J128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6" min="2" style="0" width="13"/>
    <col collapsed="false" customWidth="true" hidden="false" outlineLevel="0" max="7" min="7" style="0" width="15"/>
    <col collapsed="false" customWidth="true" hidden="false" outlineLevel="0" max="10" min="8" style="0" width="14"/>
  </cols>
  <sheetData>
    <row r="1" customFormat="false" ht="33.75" hidden="false" customHeight="true" outlineLevel="0" collapsed="false">
      <c r="A1" s="8" t="s">
        <v>303</v>
      </c>
      <c r="B1" s="8"/>
      <c r="C1" s="8"/>
      <c r="D1" s="8"/>
      <c r="E1" s="8"/>
      <c r="F1" s="8"/>
      <c r="G1" s="8"/>
      <c r="H1" s="8"/>
      <c r="I1" s="8"/>
      <c r="J1" s="8"/>
    </row>
    <row r="2" customFormat="false" ht="18" hidden="false" customHeight="true" outlineLevel="0" collapsed="false">
      <c r="A2" s="9" t="s">
        <v>304</v>
      </c>
      <c r="B2" s="9"/>
      <c r="C2" s="9"/>
      <c r="D2" s="9"/>
      <c r="E2" s="9"/>
      <c r="F2" s="9"/>
      <c r="G2" s="9"/>
      <c r="H2" s="9"/>
      <c r="I2" s="9"/>
      <c r="J2" s="9"/>
    </row>
    <row r="4" customFormat="false" ht="18" hidden="false" customHeight="true" outlineLevel="0" collapsed="false">
      <c r="A4" s="10" t="s">
        <v>305</v>
      </c>
      <c r="B4" s="10" t="s">
        <v>15</v>
      </c>
      <c r="C4" s="10" t="s">
        <v>37</v>
      </c>
      <c r="D4" s="10" t="s">
        <v>104</v>
      </c>
      <c r="E4" s="10" t="s">
        <v>306</v>
      </c>
      <c r="F4" s="10" t="s">
        <v>307</v>
      </c>
    </row>
    <row r="5" customFormat="false" ht="31.5" hidden="false" customHeight="true" outlineLevel="0" collapsed="false">
      <c r="A5" s="11" t="n">
        <f aca="false">COUNTA(Work_Orders!A2:A500)-COUNTBLANK(Work_Orders!A2:A500)</f>
        <v>-245</v>
      </c>
      <c r="B5" s="11" t="n">
        <f aca="false">COUNTIF(Work_Orders!F2:F500,"Completed")</f>
        <v>87</v>
      </c>
      <c r="C5" s="11" t="n">
        <f aca="false">COUNTIF(Work_Orders!F2:F500,"In Progress")</f>
        <v>25</v>
      </c>
      <c r="D5" s="11" t="n">
        <f aca="false">COUNTIF(Work_Orders!F2:F500,"Pending")</f>
        <v>15</v>
      </c>
      <c r="E5" s="12" t="n">
        <f aca="false">AVERAGEIF(Work_Orders!F2:F500,"Completed",Work_Orders!H2:H500)</f>
        <v>11.6781609195402</v>
      </c>
      <c r="F5" s="13" t="n">
        <f aca="false">SUMIF(Work_Orders!F2:F500,"Completed",Work_Orders!I2:I500)</f>
        <v>120798.28</v>
      </c>
    </row>
    <row r="6" customFormat="false" ht="36" hidden="false" customHeight="true" outlineLevel="0" collapsed="false"/>
    <row r="7" customFormat="false" ht="15" hidden="false" customHeight="false" outlineLevel="0" collapsed="false">
      <c r="A7" s="1" t="s">
        <v>308</v>
      </c>
      <c r="B7" s="1"/>
      <c r="C7" s="1"/>
      <c r="E7" s="1" t="s">
        <v>309</v>
      </c>
      <c r="F7" s="1"/>
      <c r="G7" s="1"/>
    </row>
    <row r="8" customFormat="false" ht="15" hidden="false" customHeight="false" outlineLevel="0" collapsed="false">
      <c r="A8" s="14" t="s">
        <v>2</v>
      </c>
      <c r="B8" s="14" t="s">
        <v>310</v>
      </c>
      <c r="C8" s="14" t="s">
        <v>311</v>
      </c>
      <c r="E8" s="14" t="s">
        <v>4</v>
      </c>
      <c r="F8" s="14" t="s">
        <v>310</v>
      </c>
      <c r="G8" s="14" t="s">
        <v>312</v>
      </c>
    </row>
    <row r="9" customFormat="false" ht="15" hidden="false" customHeight="false" outlineLevel="0" collapsed="false">
      <c r="A9" s="15" t="s">
        <v>12</v>
      </c>
      <c r="B9" s="16" t="n">
        <f aca="false">COUNTIF(Work_Orders!C:C,A9)</f>
        <v>13</v>
      </c>
      <c r="C9" s="17" t="n">
        <f aca="false">B9/B5</f>
        <v>0.149425287356322</v>
      </c>
      <c r="E9" s="18" t="s">
        <v>21</v>
      </c>
      <c r="F9" s="19" t="n">
        <f aca="false">COUNTIF(Work_Orders!E:E,E9)</f>
        <v>29</v>
      </c>
      <c r="G9" s="20" t="n">
        <f aca="false">AVERAGEIFS(Work_Orders!I:I,Work_Orders!E:E,E9,Work_Orders!F:F,"Completed")</f>
        <v>1400.973</v>
      </c>
    </row>
    <row r="10" customFormat="false" ht="15" hidden="false" customHeight="false" outlineLevel="0" collapsed="false">
      <c r="A10" s="21" t="s">
        <v>45</v>
      </c>
      <c r="B10" s="22" t="n">
        <f aca="false">COUNTIF(Work_Orders!C:C,A10)</f>
        <v>18</v>
      </c>
      <c r="C10" s="23" t="n">
        <f aca="false">B10/B5</f>
        <v>0.206896551724138</v>
      </c>
      <c r="E10" s="24" t="s">
        <v>32</v>
      </c>
      <c r="F10" s="19" t="n">
        <f aca="false">COUNTIF(Work_Orders!E:E,E10)</f>
        <v>56</v>
      </c>
      <c r="G10" s="20" t="n">
        <f aca="false">AVERAGEIFS(Work_Orders!I:I,Work_Orders!E:E,E10,Work_Orders!F:F,"Completed")</f>
        <v>1421.27261904762</v>
      </c>
    </row>
    <row r="11" customFormat="false" ht="15" hidden="false" customHeight="false" outlineLevel="0" collapsed="false">
      <c r="A11" s="15" t="s">
        <v>75</v>
      </c>
      <c r="B11" s="16" t="n">
        <f aca="false">COUNTIF(Work_Orders!C:C,A11)</f>
        <v>14</v>
      </c>
      <c r="C11" s="17" t="n">
        <f aca="false">B11/B5</f>
        <v>0.160919540229885</v>
      </c>
      <c r="E11" s="25" t="s">
        <v>14</v>
      </c>
      <c r="F11" s="19" t="n">
        <f aca="false">COUNTIF(Work_Orders!E:E,E11)</f>
        <v>42</v>
      </c>
      <c r="G11" s="20" t="n">
        <f aca="false">AVERAGEIFS(Work_Orders!I:I,Work_Orders!E:E,E11,Work_Orders!F:F,"Completed")</f>
        <v>1323.4148</v>
      </c>
    </row>
    <row r="12" customFormat="false" ht="15" hidden="false" customHeight="false" outlineLevel="0" collapsed="false">
      <c r="A12" s="21" t="s">
        <v>54</v>
      </c>
      <c r="B12" s="22" t="n">
        <f aca="false">COUNTIF(Work_Orders!C:C,A12)</f>
        <v>21</v>
      </c>
      <c r="C12" s="23" t="n">
        <f aca="false">B12/B5</f>
        <v>0.241379310344828</v>
      </c>
    </row>
    <row r="13" customFormat="false" ht="15" hidden="false" customHeight="false" outlineLevel="0" collapsed="false">
      <c r="A13" s="15" t="s">
        <v>64</v>
      </c>
      <c r="B13" s="16" t="n">
        <f aca="false">COUNTIF(Work_Orders!C:C,A13)</f>
        <v>18</v>
      </c>
      <c r="C13" s="17" t="n">
        <f aca="false">B13/B5</f>
        <v>0.206896551724138</v>
      </c>
    </row>
    <row r="14" customFormat="false" ht="15" hidden="false" customHeight="false" outlineLevel="0" collapsed="false">
      <c r="A14" s="21" t="s">
        <v>30</v>
      </c>
      <c r="B14" s="22" t="n">
        <f aca="false">COUNTIF(Work_Orders!C:C,A14)</f>
        <v>13</v>
      </c>
      <c r="C14" s="23" t="n">
        <f aca="false">B14/B5</f>
        <v>0.149425287356322</v>
      </c>
    </row>
    <row r="15" customFormat="false" ht="15" hidden="false" customHeight="false" outlineLevel="0" collapsed="false">
      <c r="A15" s="15" t="s">
        <v>26</v>
      </c>
      <c r="B15" s="16" t="n">
        <f aca="false">COUNTIF(Work_Orders!C:C,A15)</f>
        <v>16</v>
      </c>
      <c r="C15" s="17" t="n">
        <f aca="false">B15/B5</f>
        <v>0.183908045977012</v>
      </c>
    </row>
    <row r="16" customFormat="false" ht="15" hidden="false" customHeight="false" outlineLevel="0" collapsed="false">
      <c r="A16" s="21" t="s">
        <v>50</v>
      </c>
      <c r="B16" s="22" t="n">
        <f aca="false">COUNTIF(Work_Orders!C:C,A16)</f>
        <v>14</v>
      </c>
      <c r="C16" s="23" t="n">
        <f aca="false">B16/B5</f>
        <v>0.160919540229885</v>
      </c>
    </row>
    <row r="17" customFormat="false" ht="15" hidden="false" customHeight="false" outlineLevel="0" collapsed="false">
      <c r="A17" s="26" t="s">
        <v>313</v>
      </c>
      <c r="B17" s="27" t="n">
        <f aca="false">SUM(B9:B16)</f>
        <v>127</v>
      </c>
      <c r="C17" s="27" t="s">
        <v>314</v>
      </c>
    </row>
    <row r="19" customFormat="false" ht="15" hidden="false" customHeight="false" outlineLevel="0" collapsed="false">
      <c r="A19" s="1" t="s">
        <v>315</v>
      </c>
      <c r="B19" s="1"/>
      <c r="C19" s="1"/>
      <c r="D19" s="1"/>
    </row>
    <row r="20" customFormat="false" ht="15" hidden="false" customHeight="false" outlineLevel="0" collapsed="false">
      <c r="A20" s="14" t="s">
        <v>316</v>
      </c>
      <c r="B20" s="14" t="s">
        <v>317</v>
      </c>
      <c r="C20" s="14" t="s">
        <v>15</v>
      </c>
      <c r="D20" s="14" t="s">
        <v>318</v>
      </c>
    </row>
    <row r="21" customFormat="false" ht="15" hidden="false" customHeight="false" outlineLevel="0" collapsed="false">
      <c r="A21" s="28" t="s">
        <v>319</v>
      </c>
      <c r="B21" s="16" t="n">
        <f aca="false">COUNTIFS(Work_Orders!B:B,"&gt;=2024-01-01",Work_Orders!B:B,"&lt;=2024-01-31")</f>
        <v>0</v>
      </c>
      <c r="C21" s="16" t="n">
        <f aca="false">COUNTIFS(Work_Orders!B:B,"&gt;=2024-01-01",Work_Orders!B:B,"&lt;=2024-01-31",Work_Orders!F:F,"Completed")</f>
        <v>0</v>
      </c>
      <c r="D21" s="29" t="n">
        <f aca="false">SUMIFS(Work_Orders!I:I,Work_Orders!B:B,"&gt;=2024-01-01",Work_Orders!B:B,"&lt;=2024-01-31")</f>
        <v>0</v>
      </c>
    </row>
    <row r="22" customFormat="false" ht="15" hidden="false" customHeight="false" outlineLevel="0" collapsed="false">
      <c r="A22" s="30" t="s">
        <v>320</v>
      </c>
      <c r="B22" s="22" t="n">
        <f aca="false">COUNTIFS(Work_Orders!B:B,"&gt;=2024-02-01",Work_Orders!B:B,"&lt;=2024-02-31")</f>
        <v>0</v>
      </c>
      <c r="C22" s="22" t="n">
        <f aca="false">COUNTIFS(Work_Orders!B:B,"&gt;=2024-02-01",Work_Orders!B:B,"&lt;=2024-02-31",Work_Orders!F:F,"Completed")</f>
        <v>0</v>
      </c>
      <c r="D22" s="31" t="n">
        <f aca="false">SUMIFS(Work_Orders!I:I,Work_Orders!B:B,"&gt;=2024-02-01",Work_Orders!B:B,"&lt;=2024-02-31")</f>
        <v>0</v>
      </c>
    </row>
    <row r="23" customFormat="false" ht="15" hidden="false" customHeight="false" outlineLevel="0" collapsed="false">
      <c r="A23" s="28" t="s">
        <v>321</v>
      </c>
      <c r="B23" s="16" t="n">
        <f aca="false">COUNTIFS(Work_Orders!B:B,"&gt;=2024-03-01",Work_Orders!B:B,"&lt;=2024-03-31")</f>
        <v>0</v>
      </c>
      <c r="C23" s="16" t="n">
        <f aca="false">COUNTIFS(Work_Orders!B:B,"&gt;=2024-03-01",Work_Orders!B:B,"&lt;=2024-03-31",Work_Orders!F:F,"Completed")</f>
        <v>0</v>
      </c>
      <c r="D23" s="29" t="n">
        <f aca="false">SUMIFS(Work_Orders!I:I,Work_Orders!B:B,"&gt;=2024-03-01",Work_Orders!B:B,"&lt;=2024-03-31")</f>
        <v>0</v>
      </c>
    </row>
    <row r="24" customFormat="false" ht="15" hidden="false" customHeight="false" outlineLevel="0" collapsed="false">
      <c r="A24" s="30" t="s">
        <v>322</v>
      </c>
      <c r="B24" s="22" t="n">
        <f aca="false">COUNTIFS(Work_Orders!B:B,"&gt;=2024-04-01",Work_Orders!B:B,"&lt;=2024-04-31")</f>
        <v>0</v>
      </c>
      <c r="C24" s="22" t="n">
        <f aca="false">COUNTIFS(Work_Orders!B:B,"&gt;=2024-04-01",Work_Orders!B:B,"&lt;=2024-04-31",Work_Orders!F:F,"Completed")</f>
        <v>0</v>
      </c>
      <c r="D24" s="31" t="n">
        <f aca="false">SUMIFS(Work_Orders!I:I,Work_Orders!B:B,"&gt;=2024-04-01",Work_Orders!B:B,"&lt;=2024-04-31")</f>
        <v>0</v>
      </c>
    </row>
    <row r="25" customFormat="false" ht="15" hidden="false" customHeight="false" outlineLevel="0" collapsed="false">
      <c r="A25" s="28" t="s">
        <v>323</v>
      </c>
      <c r="B25" s="16" t="n">
        <f aca="false">COUNTIFS(Work_Orders!B:B,"&gt;=2024-05-01",Work_Orders!B:B,"&lt;=2024-05-31")</f>
        <v>0</v>
      </c>
      <c r="C25" s="16" t="n">
        <f aca="false">COUNTIFS(Work_Orders!B:B,"&gt;=2024-05-01",Work_Orders!B:B,"&lt;=2024-05-31",Work_Orders!F:F,"Completed")</f>
        <v>0</v>
      </c>
      <c r="D25" s="29" t="n">
        <f aca="false">SUMIFS(Work_Orders!I:I,Work_Orders!B:B,"&gt;=2024-05-01",Work_Orders!B:B,"&lt;=2024-05-31")</f>
        <v>0</v>
      </c>
    </row>
    <row r="26" customFormat="false" ht="15" hidden="false" customHeight="false" outlineLevel="0" collapsed="false">
      <c r="A26" s="30" t="s">
        <v>324</v>
      </c>
      <c r="B26" s="22" t="n">
        <f aca="false">COUNTIFS(Work_Orders!B:B,"&gt;=2024-06-01",Work_Orders!B:B,"&lt;=2024-06-31")</f>
        <v>0</v>
      </c>
      <c r="C26" s="22" t="n">
        <f aca="false">COUNTIFS(Work_Orders!B:B,"&gt;=2024-06-01",Work_Orders!B:B,"&lt;=2024-06-31",Work_Orders!F:F,"Completed")</f>
        <v>0</v>
      </c>
      <c r="D26" s="31" t="n">
        <f aca="false">SUMIFS(Work_Orders!I:I,Work_Orders!B:B,"&gt;=2024-06-01",Work_Orders!B:B,"&lt;=2024-06-31")</f>
        <v>0</v>
      </c>
    </row>
    <row r="27" customFormat="false" ht="15" hidden="false" customHeight="false" outlineLevel="0" collapsed="false">
      <c r="A27" s="28" t="s">
        <v>325</v>
      </c>
      <c r="B27" s="16" t="n">
        <f aca="false">COUNTIFS(Work_Orders!B:B,"&gt;=2024-07-01",Work_Orders!B:B,"&lt;=2024-07-31")</f>
        <v>0</v>
      </c>
      <c r="C27" s="16" t="n">
        <f aca="false">COUNTIFS(Work_Orders!B:B,"&gt;=2024-07-01",Work_Orders!B:B,"&lt;=2024-07-31",Work_Orders!F:F,"Completed")</f>
        <v>0</v>
      </c>
      <c r="D27" s="29" t="n">
        <f aca="false">SUMIFS(Work_Orders!I:I,Work_Orders!B:B,"&gt;=2024-07-01",Work_Orders!B:B,"&lt;=2024-07-31")</f>
        <v>0</v>
      </c>
    </row>
    <row r="28" customFormat="false" ht="15" hidden="false" customHeight="false" outlineLevel="0" collapsed="false">
      <c r="A28" s="30" t="s">
        <v>326</v>
      </c>
      <c r="B28" s="22" t="n">
        <f aca="false">COUNTIFS(Work_Orders!B:B,"&gt;=2024-08-01",Work_Orders!B:B,"&lt;=2024-08-31")</f>
        <v>0</v>
      </c>
      <c r="C28" s="22" t="n">
        <f aca="false">COUNTIFS(Work_Orders!B:B,"&gt;=2024-08-01",Work_Orders!B:B,"&lt;=2024-08-31",Work_Orders!F:F,"Completed")</f>
        <v>0</v>
      </c>
      <c r="D28" s="31" t="n">
        <f aca="false">SUMIFS(Work_Orders!I:I,Work_Orders!B:B,"&gt;=2024-08-01",Work_Orders!B:B,"&lt;=2024-08-31")</f>
        <v>0</v>
      </c>
    </row>
    <row r="29" customFormat="false" ht="15" hidden="false" customHeight="false" outlineLevel="0" collapsed="false">
      <c r="A29" s="28" t="s">
        <v>327</v>
      </c>
      <c r="B29" s="16" t="n">
        <f aca="false">COUNTIFS(Work_Orders!B:B,"&gt;=2024-09-01",Work_Orders!B:B,"&lt;=2024-09-31")</f>
        <v>0</v>
      </c>
      <c r="C29" s="16" t="n">
        <f aca="false">COUNTIFS(Work_Orders!B:B,"&gt;=2024-09-01",Work_Orders!B:B,"&lt;=2024-09-31",Work_Orders!F:F,"Completed")</f>
        <v>0</v>
      </c>
      <c r="D29" s="29" t="n">
        <f aca="false">SUMIFS(Work_Orders!I:I,Work_Orders!B:B,"&gt;=2024-09-01",Work_Orders!B:B,"&lt;=2024-09-31")</f>
        <v>0</v>
      </c>
    </row>
    <row r="30" customFormat="false" ht="15" hidden="false" customHeight="false" outlineLevel="0" collapsed="false">
      <c r="A30" s="30" t="s">
        <v>328</v>
      </c>
      <c r="B30" s="22" t="n">
        <f aca="false">COUNTIFS(Work_Orders!B:B,"&gt;=2024-10-01",Work_Orders!B:B,"&lt;=2024-10-31")</f>
        <v>0</v>
      </c>
      <c r="C30" s="22" t="n">
        <f aca="false">COUNTIFS(Work_Orders!B:B,"&gt;=2024-10-01",Work_Orders!B:B,"&lt;=2024-10-31",Work_Orders!F:F,"Completed")</f>
        <v>0</v>
      </c>
      <c r="D30" s="31" t="n">
        <f aca="false">SUMIFS(Work_Orders!I:I,Work_Orders!B:B,"&gt;=2024-10-01",Work_Orders!B:B,"&lt;=2024-10-31")</f>
        <v>0</v>
      </c>
    </row>
    <row r="31" customFormat="false" ht="15" hidden="false" customHeight="false" outlineLevel="0" collapsed="false">
      <c r="A31" s="28" t="s">
        <v>329</v>
      </c>
      <c r="B31" s="16" t="n">
        <f aca="false">COUNTIFS(Work_Orders!B:B,"&gt;=2024-11-01",Work_Orders!B:B,"&lt;=2024-11-31")</f>
        <v>0</v>
      </c>
      <c r="C31" s="16" t="n">
        <f aca="false">COUNTIFS(Work_Orders!B:B,"&gt;=2024-11-01",Work_Orders!B:B,"&lt;=2024-11-31",Work_Orders!F:F,"Completed")</f>
        <v>0</v>
      </c>
      <c r="D31" s="29" t="n">
        <f aca="false">SUMIFS(Work_Orders!I:I,Work_Orders!B:B,"&gt;=2024-11-01",Work_Orders!B:B,"&lt;=2024-11-31")</f>
        <v>0</v>
      </c>
    </row>
    <row r="32" customFormat="false" ht="15" hidden="false" customHeight="false" outlineLevel="0" collapsed="false">
      <c r="A32" s="30" t="s">
        <v>330</v>
      </c>
      <c r="B32" s="22" t="n">
        <f aca="false">COUNTIFS(Work_Orders!B:B,"&gt;=2024-12-01",Work_Orders!B:B,"&lt;=2024-12-31")</f>
        <v>0</v>
      </c>
      <c r="C32" s="22" t="n">
        <f aca="false">COUNTIFS(Work_Orders!B:B,"&gt;=2024-12-01",Work_Orders!B:B,"&lt;=2024-12-31",Work_Orders!F:F,"Completed")</f>
        <v>0</v>
      </c>
      <c r="D32" s="31" t="n">
        <f aca="false">SUMIFS(Work_Orders!I:I,Work_Orders!B:B,"&gt;=2024-12-01",Work_Orders!B:B,"&lt;=2024-12-31")</f>
        <v>0</v>
      </c>
    </row>
  </sheetData>
  <mergeCells count="5">
    <mergeCell ref="A1:J1"/>
    <mergeCell ref="A2:J2"/>
    <mergeCell ref="A7:C7"/>
    <mergeCell ref="E7:G7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</cols>
  <sheetData>
    <row r="1" customFormat="false" ht="27.75" hidden="false" customHeight="true" outlineLevel="0" collapsed="false">
      <c r="A1" s="32" t="s">
        <v>331</v>
      </c>
      <c r="B1" s="32"/>
      <c r="C1" s="32"/>
      <c r="D1" s="32"/>
      <c r="E1" s="32"/>
      <c r="F1" s="32"/>
    </row>
    <row r="3" customFormat="false" ht="19.5" hidden="false" customHeight="true" outlineLevel="0" collapsed="false">
      <c r="A3" s="33" t="s">
        <v>332</v>
      </c>
      <c r="B3" s="33"/>
      <c r="C3" s="33"/>
      <c r="D3" s="33"/>
      <c r="E3" s="33"/>
      <c r="F3" s="33"/>
    </row>
    <row r="4" customFormat="false" ht="15.75" hidden="false" customHeight="true" outlineLevel="0" collapsed="false">
      <c r="A4" s="34" t="s">
        <v>333</v>
      </c>
      <c r="B4" s="34"/>
      <c r="C4" s="34"/>
      <c r="D4" s="34"/>
      <c r="E4" s="34"/>
      <c r="F4" s="34"/>
    </row>
    <row r="5" customFormat="false" ht="15.75" hidden="false" customHeight="true" outlineLevel="0" collapsed="false">
      <c r="A5" s="34" t="s">
        <v>334</v>
      </c>
      <c r="B5" s="34"/>
      <c r="C5" s="34"/>
      <c r="D5" s="34"/>
      <c r="E5" s="34"/>
      <c r="F5" s="34"/>
    </row>
    <row r="6" customFormat="false" ht="15.75" hidden="false" customHeight="true" outlineLevel="0" collapsed="false">
      <c r="A6" s="34" t="s">
        <v>335</v>
      </c>
      <c r="B6" s="34"/>
      <c r="C6" s="34"/>
      <c r="D6" s="34"/>
      <c r="E6" s="34"/>
      <c r="F6" s="34"/>
    </row>
    <row r="7" customFormat="false" ht="15.75" hidden="false" customHeight="true" outlineLevel="0" collapsed="false">
      <c r="A7" s="34" t="s">
        <v>336</v>
      </c>
      <c r="B7" s="34"/>
      <c r="C7" s="34"/>
      <c r="D7" s="34"/>
      <c r="E7" s="34"/>
      <c r="F7" s="34"/>
    </row>
    <row r="8" customFormat="false" ht="15.75" hidden="false" customHeight="true" outlineLevel="0" collapsed="false">
      <c r="A8" s="34" t="s">
        <v>337</v>
      </c>
      <c r="B8" s="34"/>
      <c r="C8" s="34"/>
      <c r="D8" s="34"/>
      <c r="E8" s="34"/>
      <c r="F8" s="34"/>
    </row>
    <row r="9" customFormat="false" ht="15.75" hidden="false" customHeight="true" outlineLevel="0" collapsed="false">
      <c r="A9" s="34" t="s">
        <v>338</v>
      </c>
      <c r="B9" s="34"/>
      <c r="C9" s="34"/>
      <c r="D9" s="34"/>
      <c r="E9" s="34"/>
      <c r="F9" s="34"/>
    </row>
    <row r="11" customFormat="false" ht="19.5" hidden="false" customHeight="true" outlineLevel="0" collapsed="false">
      <c r="A11" s="33" t="s">
        <v>339</v>
      </c>
      <c r="B11" s="33"/>
      <c r="C11" s="33"/>
      <c r="D11" s="33"/>
      <c r="E11" s="33"/>
      <c r="F11" s="33"/>
    </row>
    <row r="12" customFormat="false" ht="15.75" hidden="false" customHeight="true" outlineLevel="0" collapsed="false">
      <c r="A12" s="34" t="s">
        <v>340</v>
      </c>
      <c r="B12" s="34"/>
      <c r="C12" s="34"/>
      <c r="D12" s="34"/>
      <c r="E12" s="34"/>
      <c r="F12" s="34"/>
    </row>
    <row r="13" customFormat="false" ht="15.75" hidden="false" customHeight="true" outlineLevel="0" collapsed="false">
      <c r="A13" s="34" t="s">
        <v>341</v>
      </c>
      <c r="B13" s="34"/>
      <c r="C13" s="34"/>
      <c r="D13" s="34"/>
      <c r="E13" s="34"/>
      <c r="F13" s="34"/>
    </row>
    <row r="14" customFormat="false" ht="15.75" hidden="false" customHeight="true" outlineLevel="0" collapsed="false">
      <c r="A14" s="34" t="s">
        <v>342</v>
      </c>
      <c r="B14" s="34"/>
      <c r="C14" s="34"/>
      <c r="D14" s="34"/>
      <c r="E14" s="34"/>
      <c r="F14" s="34"/>
    </row>
    <row r="15" customFormat="false" ht="15.75" hidden="false" customHeight="true" outlineLevel="0" collapsed="false">
      <c r="A15" s="34" t="s">
        <v>343</v>
      </c>
      <c r="B15" s="34"/>
      <c r="C15" s="34"/>
      <c r="D15" s="34"/>
      <c r="E15" s="34"/>
      <c r="F15" s="34"/>
    </row>
    <row r="16" customFormat="false" ht="15.75" hidden="false" customHeight="true" outlineLevel="0" collapsed="false">
      <c r="A16" s="34" t="s">
        <v>336</v>
      </c>
      <c r="B16" s="34"/>
      <c r="C16" s="34"/>
      <c r="D16" s="34"/>
      <c r="E16" s="34"/>
      <c r="F16" s="34"/>
    </row>
    <row r="17" customFormat="false" ht="15.75" hidden="false" customHeight="true" outlineLevel="0" collapsed="false">
      <c r="A17" s="34" t="s">
        <v>344</v>
      </c>
      <c r="B17" s="34"/>
      <c r="C17" s="34"/>
      <c r="D17" s="34"/>
      <c r="E17" s="34"/>
      <c r="F17" s="34"/>
    </row>
    <row r="18" customFormat="false" ht="15.75" hidden="false" customHeight="true" outlineLevel="0" collapsed="false">
      <c r="A18" s="34" t="s">
        <v>345</v>
      </c>
      <c r="B18" s="34"/>
      <c r="C18" s="34"/>
      <c r="D18" s="34"/>
      <c r="E18" s="34"/>
      <c r="F18" s="34"/>
    </row>
    <row r="19" customFormat="false" ht="15.75" hidden="false" customHeight="true" outlineLevel="0" collapsed="false">
      <c r="A19" s="34" t="s">
        <v>346</v>
      </c>
      <c r="B19" s="34"/>
      <c r="C19" s="34"/>
      <c r="D19" s="34"/>
      <c r="E19" s="34"/>
      <c r="F19" s="34"/>
    </row>
    <row r="20" customFormat="false" ht="15.75" hidden="false" customHeight="true" outlineLevel="0" collapsed="false">
      <c r="A20" s="34" t="s">
        <v>347</v>
      </c>
      <c r="B20" s="34"/>
      <c r="C20" s="34"/>
      <c r="D20" s="34"/>
      <c r="E20" s="34"/>
      <c r="F20" s="34"/>
    </row>
    <row r="21" customFormat="false" ht="15.75" hidden="false" customHeight="true" outlineLevel="0" collapsed="false">
      <c r="A21" s="34" t="s">
        <v>348</v>
      </c>
      <c r="B21" s="34"/>
      <c r="C21" s="34"/>
      <c r="D21" s="34"/>
      <c r="E21" s="34"/>
      <c r="F21" s="34"/>
    </row>
    <row r="23" customFormat="false" ht="19.5" hidden="false" customHeight="true" outlineLevel="0" collapsed="false">
      <c r="A23" s="33" t="s">
        <v>349</v>
      </c>
      <c r="B23" s="33"/>
      <c r="C23" s="33"/>
      <c r="D23" s="33"/>
      <c r="E23" s="33"/>
      <c r="F23" s="33"/>
    </row>
    <row r="24" customFormat="false" ht="15.75" hidden="false" customHeight="true" outlineLevel="0" collapsed="false">
      <c r="A24" s="34" t="s">
        <v>350</v>
      </c>
      <c r="B24" s="34"/>
      <c r="C24" s="34"/>
      <c r="D24" s="34"/>
      <c r="E24" s="34"/>
      <c r="F24" s="34"/>
    </row>
    <row r="25" customFormat="false" ht="15.75" hidden="false" customHeight="true" outlineLevel="0" collapsed="false">
      <c r="A25" s="34" t="s">
        <v>351</v>
      </c>
      <c r="B25" s="34"/>
      <c r="C25" s="34"/>
      <c r="D25" s="34"/>
      <c r="E25" s="34"/>
      <c r="F25" s="34"/>
    </row>
    <row r="26" customFormat="false" ht="15.75" hidden="false" customHeight="true" outlineLevel="0" collapsed="false">
      <c r="A26" s="34" t="s">
        <v>352</v>
      </c>
      <c r="B26" s="34"/>
      <c r="C26" s="34"/>
      <c r="D26" s="34"/>
      <c r="E26" s="34"/>
      <c r="F26" s="34"/>
    </row>
    <row r="27" customFormat="false" ht="15.75" hidden="false" customHeight="true" outlineLevel="0" collapsed="false">
      <c r="A27" s="34" t="s">
        <v>353</v>
      </c>
      <c r="B27" s="34"/>
      <c r="C27" s="34"/>
      <c r="D27" s="34"/>
      <c r="E27" s="34"/>
      <c r="F27" s="34"/>
    </row>
    <row r="28" customFormat="false" ht="15.75" hidden="false" customHeight="true" outlineLevel="0" collapsed="false">
      <c r="A28" s="34" t="s">
        <v>336</v>
      </c>
      <c r="B28" s="34"/>
      <c r="C28" s="34"/>
      <c r="D28" s="34"/>
      <c r="E28" s="34"/>
      <c r="F28" s="34"/>
    </row>
    <row r="29" customFormat="false" ht="15.75" hidden="false" customHeight="true" outlineLevel="0" collapsed="false">
      <c r="A29" s="34" t="s">
        <v>354</v>
      </c>
      <c r="B29" s="34"/>
      <c r="C29" s="34"/>
      <c r="D29" s="34"/>
      <c r="E29" s="34"/>
      <c r="F29" s="34"/>
    </row>
    <row r="30" customFormat="false" ht="15.75" hidden="false" customHeight="true" outlineLevel="0" collapsed="false">
      <c r="A30" s="34" t="s">
        <v>355</v>
      </c>
      <c r="B30" s="34"/>
      <c r="C30" s="34"/>
      <c r="D30" s="34"/>
      <c r="E30" s="34"/>
      <c r="F30" s="34"/>
    </row>
    <row r="32" customFormat="false" ht="19.5" hidden="false" customHeight="true" outlineLevel="0" collapsed="false">
      <c r="A32" s="33" t="s">
        <v>356</v>
      </c>
      <c r="B32" s="33"/>
      <c r="C32" s="33"/>
      <c r="D32" s="33"/>
      <c r="E32" s="33"/>
      <c r="F32" s="33"/>
    </row>
    <row r="33" customFormat="false" ht="15.75" hidden="false" customHeight="true" outlineLevel="0" collapsed="false">
      <c r="A33" s="34" t="s">
        <v>333</v>
      </c>
      <c r="B33" s="34"/>
      <c r="C33" s="34"/>
      <c r="D33" s="34"/>
      <c r="E33" s="34"/>
      <c r="F33" s="34"/>
    </row>
    <row r="34" customFormat="false" ht="15.75" hidden="false" customHeight="true" outlineLevel="0" collapsed="false">
      <c r="A34" s="34" t="s">
        <v>341</v>
      </c>
      <c r="B34" s="34"/>
      <c r="C34" s="34"/>
      <c r="D34" s="34"/>
      <c r="E34" s="34"/>
      <c r="F34" s="34"/>
    </row>
    <row r="35" customFormat="false" ht="15.75" hidden="false" customHeight="true" outlineLevel="0" collapsed="false">
      <c r="A35" s="34" t="s">
        <v>357</v>
      </c>
      <c r="B35" s="34"/>
      <c r="C35" s="34"/>
      <c r="D35" s="34"/>
      <c r="E35" s="34"/>
      <c r="F35" s="34"/>
    </row>
    <row r="36" customFormat="false" ht="15.75" hidden="false" customHeight="true" outlineLevel="0" collapsed="false">
      <c r="A36" s="34" t="s">
        <v>343</v>
      </c>
      <c r="B36" s="34"/>
      <c r="C36" s="34"/>
      <c r="D36" s="34"/>
      <c r="E36" s="34"/>
      <c r="F36" s="34"/>
    </row>
    <row r="37" customFormat="false" ht="15.75" hidden="false" customHeight="true" outlineLevel="0" collapsed="false">
      <c r="A37" s="34" t="s">
        <v>336</v>
      </c>
      <c r="B37" s="34"/>
      <c r="C37" s="34"/>
      <c r="D37" s="34"/>
      <c r="E37" s="34"/>
      <c r="F37" s="34"/>
    </row>
    <row r="38" customFormat="false" ht="15.75" hidden="false" customHeight="true" outlineLevel="0" collapsed="false">
      <c r="A38" s="34" t="s">
        <v>344</v>
      </c>
      <c r="B38" s="34"/>
      <c r="C38" s="34"/>
      <c r="D38" s="34"/>
      <c r="E38" s="34"/>
      <c r="F38" s="34"/>
    </row>
    <row r="39" customFormat="false" ht="15.75" hidden="false" customHeight="true" outlineLevel="0" collapsed="false">
      <c r="A39" s="34" t="s">
        <v>337</v>
      </c>
      <c r="B39" s="34"/>
      <c r="C39" s="34"/>
      <c r="D39" s="34"/>
      <c r="E39" s="34"/>
      <c r="F39" s="34"/>
    </row>
    <row r="40" customFormat="false" ht="15.75" hidden="false" customHeight="true" outlineLevel="0" collapsed="false">
      <c r="A40" s="34" t="s">
        <v>358</v>
      </c>
      <c r="B40" s="34"/>
      <c r="C40" s="34"/>
      <c r="D40" s="34"/>
      <c r="E40" s="34"/>
      <c r="F40" s="34"/>
    </row>
    <row r="41" customFormat="false" ht="15.75" hidden="false" customHeight="true" outlineLevel="0" collapsed="false">
      <c r="A41" s="34" t="s">
        <v>359</v>
      </c>
      <c r="B41" s="34"/>
      <c r="C41" s="34"/>
      <c r="D41" s="34"/>
      <c r="E41" s="34"/>
      <c r="F41" s="34"/>
    </row>
    <row r="43" customFormat="false" ht="19.5" hidden="false" customHeight="true" outlineLevel="0" collapsed="false">
      <c r="A43" s="33" t="s">
        <v>360</v>
      </c>
      <c r="B43" s="33"/>
      <c r="C43" s="33"/>
      <c r="D43" s="33"/>
      <c r="E43" s="33"/>
      <c r="F43" s="33"/>
    </row>
    <row r="44" customFormat="false" ht="15.75" hidden="false" customHeight="true" outlineLevel="0" collapsed="false">
      <c r="A44" s="34" t="s">
        <v>361</v>
      </c>
      <c r="B44" s="34"/>
      <c r="C44" s="34"/>
      <c r="D44" s="34"/>
      <c r="E44" s="34"/>
      <c r="F44" s="34"/>
    </row>
    <row r="45" customFormat="false" ht="15.75" hidden="false" customHeight="true" outlineLevel="0" collapsed="false">
      <c r="A45" s="34" t="s">
        <v>334</v>
      </c>
      <c r="B45" s="34"/>
      <c r="C45" s="34"/>
      <c r="D45" s="34"/>
      <c r="E45" s="34"/>
      <c r="F45" s="34"/>
    </row>
    <row r="46" customFormat="false" ht="15.75" hidden="false" customHeight="true" outlineLevel="0" collapsed="false">
      <c r="A46" s="34" t="s">
        <v>352</v>
      </c>
      <c r="B46" s="34"/>
      <c r="C46" s="34"/>
      <c r="D46" s="34"/>
      <c r="E46" s="34"/>
      <c r="F46" s="34"/>
    </row>
    <row r="47" customFormat="false" ht="15.75" hidden="false" customHeight="true" outlineLevel="0" collapsed="false">
      <c r="A47" s="34" t="s">
        <v>362</v>
      </c>
      <c r="B47" s="34"/>
      <c r="C47" s="34"/>
      <c r="D47" s="34"/>
      <c r="E47" s="34"/>
      <c r="F47" s="34"/>
    </row>
    <row r="48" customFormat="false" ht="15.75" hidden="false" customHeight="true" outlineLevel="0" collapsed="false">
      <c r="A48" s="34" t="s">
        <v>363</v>
      </c>
      <c r="B48" s="34"/>
      <c r="C48" s="34"/>
      <c r="D48" s="34"/>
      <c r="E48" s="34"/>
      <c r="F48" s="34"/>
    </row>
    <row r="49" customFormat="false" ht="15.75" hidden="false" customHeight="true" outlineLevel="0" collapsed="false">
      <c r="A49" s="34" t="s">
        <v>336</v>
      </c>
      <c r="B49" s="34"/>
      <c r="C49" s="34"/>
      <c r="D49" s="34"/>
      <c r="E49" s="34"/>
      <c r="F49" s="34"/>
    </row>
    <row r="50" customFormat="false" ht="15.75" hidden="false" customHeight="true" outlineLevel="0" collapsed="false">
      <c r="A50" s="34" t="s">
        <v>364</v>
      </c>
      <c r="B50" s="34"/>
      <c r="C50" s="34"/>
      <c r="D50" s="34"/>
      <c r="E50" s="34"/>
      <c r="F50" s="34"/>
    </row>
    <row r="51" customFormat="false" ht="15.75" hidden="false" customHeight="true" outlineLevel="0" collapsed="false">
      <c r="A51" s="34" t="s">
        <v>338</v>
      </c>
      <c r="B51" s="34"/>
      <c r="C51" s="34"/>
      <c r="D51" s="34"/>
      <c r="E51" s="34"/>
      <c r="F51" s="34"/>
    </row>
  </sheetData>
  <mergeCells count="46">
    <mergeCell ref="A1:F1"/>
    <mergeCell ref="A3:F3"/>
    <mergeCell ref="A4:F4"/>
    <mergeCell ref="A5:F5"/>
    <mergeCell ref="A6:F6"/>
    <mergeCell ref="A7:F7"/>
    <mergeCell ref="A8:F8"/>
    <mergeCell ref="A9:F9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A20:F20"/>
    <mergeCell ref="A21:F21"/>
    <mergeCell ref="A23:F23"/>
    <mergeCell ref="A24:F24"/>
    <mergeCell ref="A25:F25"/>
    <mergeCell ref="A26:F26"/>
    <mergeCell ref="A27:F27"/>
    <mergeCell ref="A28:F28"/>
    <mergeCell ref="A29:F29"/>
    <mergeCell ref="A30:F30"/>
    <mergeCell ref="A32:F32"/>
    <mergeCell ref="A33:F33"/>
    <mergeCell ref="A34:F34"/>
    <mergeCell ref="A35:F35"/>
    <mergeCell ref="A36:F36"/>
    <mergeCell ref="A37:F37"/>
    <mergeCell ref="A38:F38"/>
    <mergeCell ref="A39:F39"/>
    <mergeCell ref="A40:F40"/>
    <mergeCell ref="A41:F41"/>
    <mergeCell ref="A43:F43"/>
    <mergeCell ref="A44:F44"/>
    <mergeCell ref="A45:F45"/>
    <mergeCell ref="A46:F46"/>
    <mergeCell ref="A47:F47"/>
    <mergeCell ref="A48:F48"/>
    <mergeCell ref="A49:F49"/>
    <mergeCell ref="A50:F50"/>
    <mergeCell ref="A51:F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27.75" hidden="false" customHeight="true" outlineLevel="0" collapsed="false">
      <c r="A1" s="32" t="s">
        <v>365</v>
      </c>
      <c r="B1" s="32"/>
      <c r="C1" s="32"/>
      <c r="D1" s="32"/>
    </row>
    <row r="3" customFormat="false" ht="15.75" hidden="false" customHeight="true" outlineLevel="0" collapsed="false">
      <c r="A3" s="35" t="s">
        <v>366</v>
      </c>
      <c r="B3" s="35"/>
      <c r="C3" s="35"/>
      <c r="D3" s="35"/>
    </row>
    <row r="4" customFormat="false" ht="15.75" hidden="false" customHeight="true" outlineLevel="0" collapsed="false">
      <c r="A4" s="36"/>
      <c r="B4" s="36"/>
      <c r="C4" s="36"/>
      <c r="D4" s="36"/>
    </row>
    <row r="5" customFormat="false" ht="15.75" hidden="false" customHeight="true" outlineLevel="0" collapsed="false">
      <c r="A5" s="37" t="s">
        <v>367</v>
      </c>
      <c r="B5" s="37"/>
      <c r="C5" s="37"/>
      <c r="D5" s="37"/>
    </row>
    <row r="6" customFormat="false" ht="15.75" hidden="false" customHeight="true" outlineLevel="0" collapsed="false">
      <c r="A6" s="38" t="s">
        <v>368</v>
      </c>
      <c r="B6" s="38"/>
      <c r="C6" s="38"/>
      <c r="D6" s="38"/>
    </row>
    <row r="7" customFormat="false" ht="15.75" hidden="false" customHeight="true" outlineLevel="0" collapsed="false">
      <c r="A7" s="38" t="s">
        <v>369</v>
      </c>
      <c r="B7" s="38"/>
      <c r="C7" s="38"/>
      <c r="D7" s="38"/>
    </row>
    <row r="8" customFormat="false" ht="15.75" hidden="false" customHeight="true" outlineLevel="0" collapsed="false">
      <c r="A8" s="38" t="s">
        <v>370</v>
      </c>
      <c r="B8" s="38"/>
      <c r="C8" s="38"/>
      <c r="D8" s="38"/>
    </row>
    <row r="9" customFormat="false" ht="15.75" hidden="false" customHeight="true" outlineLevel="0" collapsed="false">
      <c r="A9" s="36"/>
      <c r="B9" s="36"/>
      <c r="C9" s="36"/>
      <c r="D9" s="36"/>
    </row>
    <row r="10" customFormat="false" ht="15.75" hidden="false" customHeight="true" outlineLevel="0" collapsed="false">
      <c r="A10" s="37" t="s">
        <v>371</v>
      </c>
      <c r="B10" s="37"/>
      <c r="C10" s="37"/>
      <c r="D10" s="37"/>
    </row>
    <row r="11" customFormat="false" ht="15.75" hidden="false" customHeight="true" outlineLevel="0" collapsed="false">
      <c r="A11" s="38" t="s">
        <v>372</v>
      </c>
      <c r="B11" s="38"/>
      <c r="C11" s="38"/>
      <c r="D11" s="38"/>
    </row>
    <row r="12" customFormat="false" ht="15.75" hidden="false" customHeight="true" outlineLevel="0" collapsed="false">
      <c r="A12" s="38" t="s">
        <v>373</v>
      </c>
      <c r="B12" s="38"/>
      <c r="C12" s="38"/>
      <c r="D12" s="38"/>
    </row>
    <row r="13" customFormat="false" ht="15.75" hidden="false" customHeight="true" outlineLevel="0" collapsed="false">
      <c r="A13" s="38" t="s">
        <v>374</v>
      </c>
      <c r="B13" s="38"/>
      <c r="C13" s="38"/>
      <c r="D13" s="38"/>
    </row>
    <row r="14" customFormat="false" ht="15.75" hidden="false" customHeight="true" outlineLevel="0" collapsed="false">
      <c r="A14" s="36"/>
      <c r="B14" s="36"/>
      <c r="C14" s="36"/>
      <c r="D14" s="36"/>
    </row>
    <row r="15" customFormat="false" ht="15.75" hidden="false" customHeight="true" outlineLevel="0" collapsed="false">
      <c r="A15" s="37" t="s">
        <v>375</v>
      </c>
      <c r="B15" s="37"/>
      <c r="C15" s="37"/>
      <c r="D15" s="37"/>
    </row>
    <row r="16" customFormat="false" ht="15.75" hidden="false" customHeight="true" outlineLevel="0" collapsed="false">
      <c r="A16" s="38" t="s">
        <v>376</v>
      </c>
      <c r="B16" s="38"/>
      <c r="C16" s="38"/>
      <c r="D16" s="38"/>
    </row>
    <row r="17" customFormat="false" ht="15.75" hidden="false" customHeight="true" outlineLevel="0" collapsed="false">
      <c r="A17" s="38" t="s">
        <v>377</v>
      </c>
      <c r="B17" s="38"/>
      <c r="C17" s="38"/>
      <c r="D17" s="38"/>
    </row>
    <row r="18" customFormat="false" ht="15.75" hidden="false" customHeight="true" outlineLevel="0" collapsed="false">
      <c r="A18" s="38" t="s">
        <v>378</v>
      </c>
      <c r="B18" s="38"/>
      <c r="C18" s="38"/>
      <c r="D18" s="38"/>
    </row>
    <row r="19" customFormat="false" ht="15.75" hidden="false" customHeight="true" outlineLevel="0" collapsed="false">
      <c r="A19" s="36"/>
      <c r="B19" s="36"/>
      <c r="C19" s="36"/>
      <c r="D19" s="36"/>
    </row>
    <row r="20" customFormat="false" ht="15.75" hidden="false" customHeight="true" outlineLevel="0" collapsed="false">
      <c r="A20" s="37" t="s">
        <v>379</v>
      </c>
      <c r="B20" s="37"/>
      <c r="C20" s="37"/>
      <c r="D20" s="37"/>
    </row>
    <row r="21" customFormat="false" ht="15.75" hidden="false" customHeight="true" outlineLevel="0" collapsed="false">
      <c r="A21" s="38" t="s">
        <v>380</v>
      </c>
      <c r="B21" s="38"/>
      <c r="C21" s="38"/>
      <c r="D21" s="38"/>
    </row>
    <row r="22" customFormat="false" ht="15.75" hidden="false" customHeight="true" outlineLevel="0" collapsed="false">
      <c r="A22" s="38" t="s">
        <v>381</v>
      </c>
      <c r="B22" s="38"/>
      <c r="C22" s="38"/>
      <c r="D22" s="38"/>
    </row>
    <row r="23" customFormat="false" ht="15.75" hidden="false" customHeight="true" outlineLevel="0" collapsed="false">
      <c r="A23" s="38" t="s">
        <v>382</v>
      </c>
      <c r="B23" s="38"/>
      <c r="C23" s="38"/>
      <c r="D23" s="38"/>
    </row>
    <row r="24" customFormat="false" ht="15.75" hidden="false" customHeight="true" outlineLevel="0" collapsed="false">
      <c r="A24" s="38" t="s">
        <v>383</v>
      </c>
      <c r="B24" s="38"/>
      <c r="C24" s="38"/>
      <c r="D24" s="38"/>
    </row>
    <row r="25" customFormat="false" ht="15.75" hidden="false" customHeight="true" outlineLevel="0" collapsed="false">
      <c r="A25" s="36"/>
      <c r="B25" s="36"/>
      <c r="C25" s="36"/>
      <c r="D25" s="36"/>
    </row>
    <row r="26" customFormat="false" ht="15.75" hidden="false" customHeight="true" outlineLevel="0" collapsed="false">
      <c r="A26" s="37" t="s">
        <v>384</v>
      </c>
      <c r="B26" s="37"/>
      <c r="C26" s="37"/>
      <c r="D26" s="37"/>
    </row>
    <row r="27" customFormat="false" ht="15.75" hidden="false" customHeight="true" outlineLevel="0" collapsed="false">
      <c r="A27" s="38" t="s">
        <v>385</v>
      </c>
      <c r="B27" s="38"/>
      <c r="C27" s="38"/>
      <c r="D27" s="38"/>
    </row>
    <row r="28" customFormat="false" ht="15.75" hidden="false" customHeight="true" outlineLevel="0" collapsed="false">
      <c r="A28" s="38" t="s">
        <v>386</v>
      </c>
      <c r="B28" s="38"/>
      <c r="C28" s="38"/>
      <c r="D28" s="38"/>
    </row>
    <row r="29" customFormat="false" ht="15.75" hidden="false" customHeight="true" outlineLevel="0" collapsed="false">
      <c r="A29" s="38" t="s">
        <v>387</v>
      </c>
      <c r="B29" s="38"/>
      <c r="C29" s="38"/>
      <c r="D29" s="38"/>
    </row>
    <row r="30" customFormat="false" ht="15.75" hidden="false" customHeight="true" outlineLevel="0" collapsed="false">
      <c r="A30" s="38" t="s">
        <v>388</v>
      </c>
      <c r="B30" s="38"/>
      <c r="C30" s="38"/>
      <c r="D30" s="38"/>
    </row>
    <row r="31" customFormat="false" ht="15.75" hidden="false" customHeight="true" outlineLevel="0" collapsed="false">
      <c r="A31" s="38" t="s">
        <v>389</v>
      </c>
      <c r="B31" s="38"/>
      <c r="C31" s="38"/>
      <c r="D31" s="38"/>
    </row>
    <row r="32" customFormat="false" ht="15.75" hidden="false" customHeight="true" outlineLevel="0" collapsed="false">
      <c r="A32" s="36"/>
      <c r="B32" s="36"/>
      <c r="C32" s="36"/>
      <c r="D32" s="36"/>
    </row>
    <row r="33" customFormat="false" ht="15.75" hidden="false" customHeight="true" outlineLevel="0" collapsed="false">
      <c r="A33" s="37" t="s">
        <v>390</v>
      </c>
      <c r="B33" s="37"/>
      <c r="C33" s="37"/>
      <c r="D33" s="37"/>
    </row>
    <row r="34" customFormat="false" ht="15.75" hidden="false" customHeight="true" outlineLevel="0" collapsed="false">
      <c r="A34" s="38" t="s">
        <v>391</v>
      </c>
      <c r="B34" s="38"/>
      <c r="C34" s="38"/>
      <c r="D34" s="38"/>
    </row>
    <row r="35" customFormat="false" ht="15.75" hidden="false" customHeight="true" outlineLevel="0" collapsed="false">
      <c r="A35" s="38" t="s">
        <v>392</v>
      </c>
      <c r="B35" s="38"/>
      <c r="C35" s="38"/>
      <c r="D35" s="38"/>
    </row>
    <row r="36" customFormat="false" ht="15.75" hidden="false" customHeight="true" outlineLevel="0" collapsed="false">
      <c r="A36" s="38" t="s">
        <v>393</v>
      </c>
      <c r="B36" s="38"/>
      <c r="C36" s="38"/>
      <c r="D36" s="38"/>
    </row>
  </sheetData>
  <mergeCells count="35">
    <mergeCell ref="A1:D1"/>
    <mergeCell ref="A3:D3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2026-06-18T18:38:43Z</dcterms:created>
  <dc:creator>openpyxl</dc:creator>
  <dc:description/>
  <dc:language>en-US</dc:language>
  <cp:lastModifiedBy/>
  <dcterms:modified xsi:type="dcterms:W3CDTF">2026-06-18T18:38:50Z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